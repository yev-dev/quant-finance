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yan\Documents\YouTube Videos\CFA\Concepts Explained\L1\Fixed Income\Key Rate Duration\"/>
    </mc:Choice>
  </mc:AlternateContent>
  <xr:revisionPtr revIDLastSave="0" documentId="13_ncr:1_{15FAC348-CE7C-4491-B6C2-4E396C271192}" xr6:coauthVersionLast="47" xr6:coauthVersionMax="47" xr10:uidLastSave="{00000000-0000-0000-0000-000000000000}"/>
  <bookViews>
    <workbookView xWindow="0" yWindow="0" windowWidth="28800" windowHeight="15600" xr2:uid="{8E47AB21-443A-4A38-9635-07CFAE0A4C2D}"/>
  </bookViews>
  <sheets>
    <sheet name="Key Rate Dura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J7" i="1" s="1"/>
  <c r="J3" i="1"/>
  <c r="G7" i="1"/>
  <c r="G6" i="1"/>
  <c r="G5" i="1"/>
  <c r="G4" i="1"/>
  <c r="G3" i="1"/>
  <c r="F3" i="1"/>
  <c r="F7" i="1"/>
  <c r="F4" i="1"/>
  <c r="F5" i="1"/>
  <c r="F6" i="1"/>
  <c r="J4" i="1" l="1"/>
  <c r="J6" i="1"/>
  <c r="J5" i="1"/>
  <c r="J8" i="1" l="1"/>
  <c r="K3" i="1" s="1"/>
  <c r="L3" i="1" s="1"/>
  <c r="C4" i="1" l="1"/>
  <c r="K6" i="1"/>
  <c r="L6" i="1" s="1"/>
  <c r="K7" i="1"/>
  <c r="L7" i="1" s="1"/>
  <c r="K4" i="1"/>
  <c r="L4" i="1" s="1"/>
  <c r="K5" i="1"/>
  <c r="L5" i="1" s="1"/>
  <c r="C10" i="1" l="1"/>
  <c r="L8" i="1"/>
  <c r="K8" i="1"/>
</calcChain>
</file>

<file path=xl/sharedStrings.xml><?xml version="1.0" encoding="utf-8"?>
<sst xmlns="http://schemas.openxmlformats.org/spreadsheetml/2006/main" count="14" uniqueCount="14">
  <si>
    <t>Time to Maturity (Years)</t>
  </si>
  <si>
    <t>Inputs</t>
  </si>
  <si>
    <t>Yield to Maturity</t>
  </si>
  <si>
    <t>Coupon Rate</t>
  </si>
  <si>
    <t>Cash Flow</t>
  </si>
  <si>
    <t>Present Value</t>
  </si>
  <si>
    <t>Weight</t>
  </si>
  <si>
    <t>Period*Weight</t>
  </si>
  <si>
    <t>Year</t>
  </si>
  <si>
    <t>Shift</t>
  </si>
  <si>
    <t>Key Rate Duration</t>
  </si>
  <si>
    <t>Original Curve</t>
  </si>
  <si>
    <t>Shifted Curve</t>
  </si>
  <si>
    <t>Adjustment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</si>
</sst>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0.0%"/>
    <numFmt numFmtId="166" formatCode="0.000"/>
  </numFmts>
  <fonts count="4" x14ac:knownFonts="1">
    <font>
      <sz val="22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2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8">
    <xf numFmtId="0" fontId="0" fillId="0" borderId="0" xfId="0"/>
    <xf numFmtId="44" fontId="0" fillId="0" borderId="0" xfId="0" applyNumberFormat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9" fontId="2" fillId="0" borderId="6" xfId="0" applyNumberFormat="1" applyFont="1" applyBorder="1"/>
    <xf numFmtId="0" fontId="2" fillId="0" borderId="1" xfId="0" applyFont="1" applyBorder="1"/>
    <xf numFmtId="0" fontId="0" fillId="0" borderId="5" xfId="0" applyBorder="1"/>
    <xf numFmtId="0" fontId="2" fillId="2" borderId="1" xfId="0" applyFont="1" applyFill="1" applyBorder="1" applyAlignment="1">
      <alignment horizontal="center"/>
    </xf>
    <xf numFmtId="10" fontId="2" fillId="0" borderId="4" xfId="0" applyNumberFormat="1" applyFont="1" applyBorder="1"/>
    <xf numFmtId="10" fontId="2" fillId="0" borderId="2" xfId="0" applyNumberFormat="1" applyFont="1" applyBorder="1"/>
    <xf numFmtId="0" fontId="2" fillId="2" borderId="7" xfId="0" applyFont="1" applyFill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0" fontId="0" fillId="0" borderId="9" xfId="0" applyBorder="1"/>
    <xf numFmtId="165" fontId="0" fillId="0" borderId="8" xfId="1" applyNumberFormat="1" applyFont="1" applyBorder="1" applyAlignment="1">
      <alignment horizontal="center"/>
    </xf>
    <xf numFmtId="44" fontId="0" fillId="0" borderId="8" xfId="0" applyNumberFormat="1" applyBorder="1" applyAlignment="1">
      <alignment horizontal="center"/>
    </xf>
    <xf numFmtId="44" fontId="2" fillId="2" borderId="9" xfId="0" applyNumberFormat="1" applyFont="1" applyFill="1" applyBorder="1"/>
    <xf numFmtId="10" fontId="0" fillId="0" borderId="8" xfId="1" applyNumberFormat="1" applyFont="1" applyBorder="1" applyAlignment="1">
      <alignment horizontal="center"/>
    </xf>
    <xf numFmtId="10" fontId="3" fillId="0" borderId="9" xfId="0" applyNumberFormat="1" applyFont="1" applyBorder="1"/>
    <xf numFmtId="0" fontId="2" fillId="2" borderId="10" xfId="0" applyFont="1" applyFill="1" applyBorder="1" applyAlignment="1">
      <alignment horizontal="center"/>
    </xf>
    <xf numFmtId="2" fontId="0" fillId="0" borderId="11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166" fontId="2" fillId="2" borderId="12" xfId="0" applyNumberFormat="1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44" fontId="0" fillId="0" borderId="13" xfId="0" applyNumberFormat="1" applyBorder="1" applyAlignment="1">
      <alignment horizontal="center"/>
    </xf>
    <xf numFmtId="2" fontId="2" fillId="0" borderId="2" xfId="1" applyNumberFormat="1" applyFont="1" applyBorder="1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/>
              <a:t>Yield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'Key Rate Duration'!$G$2</c:f>
              <c:strCache>
                <c:ptCount val="1"/>
                <c:pt idx="0">
                  <c:v>Original Curve</c:v>
                </c:pt>
              </c:strCache>
            </c:strRef>
          </c:tx>
          <c:spPr>
            <a:ln w="508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50800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BB97-47F8-A553-D780A86D8B14}"/>
              </c:ext>
            </c:extLst>
          </c:dPt>
          <c:xVal>
            <c:numRef>
              <c:f>'Key Rate Duration'!$E$3:$E$7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'Key Rate Duration'!$G$3:$G$7</c:f>
              <c:numCache>
                <c:formatCode>0.0%</c:formatCode>
                <c:ptCount val="5"/>
                <c:pt idx="0">
                  <c:v>0.02</c:v>
                </c:pt>
                <c:pt idx="1">
                  <c:v>0.04</c:v>
                </c:pt>
                <c:pt idx="2">
                  <c:v>0.05</c:v>
                </c:pt>
                <c:pt idx="3">
                  <c:v>0.06</c:v>
                </c:pt>
                <c:pt idx="4">
                  <c:v>6.5000000000000002E-2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348-455B-B655-478581BF2F46}"/>
            </c:ext>
          </c:extLst>
        </c:ser>
        <c:ser>
          <c:idx val="1"/>
          <c:order val="1"/>
          <c:tx>
            <c:strRef>
              <c:f>'Key Rate Duration'!$H$2</c:f>
              <c:strCache>
                <c:ptCount val="1"/>
                <c:pt idx="0">
                  <c:v>Shifted Curve</c:v>
                </c:pt>
              </c:strCache>
            </c:strRef>
          </c:tx>
          <c:spPr>
            <a:ln w="508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'Key Rate Duration'!$H$3:$H$7</c:f>
              <c:numCache>
                <c:formatCode>0.0%</c:formatCode>
                <c:ptCount val="5"/>
                <c:pt idx="0">
                  <c:v>9.9999999999999985E-3</c:v>
                </c:pt>
                <c:pt idx="1">
                  <c:v>2.0000000000000004E-2</c:v>
                </c:pt>
                <c:pt idx="2">
                  <c:v>7.0000000000000007E-2</c:v>
                </c:pt>
                <c:pt idx="3">
                  <c:v>7.9999999999999988E-2</c:v>
                </c:pt>
                <c:pt idx="4">
                  <c:v>9.5000000000000001E-2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348-455B-B655-478581BF2F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062047"/>
        <c:axId val="123060383"/>
      </c:scatterChart>
      <c:valAx>
        <c:axId val="123062047"/>
        <c:scaling>
          <c:orientation val="minMax"/>
          <c:max val="5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/>
                  <a:t>Years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060383"/>
        <c:crosses val="autoZero"/>
        <c:crossBetween val="midCat"/>
        <c:majorUnit val="1"/>
      </c:valAx>
      <c:valAx>
        <c:axId val="123060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/>
                  <a:t>Interest Rates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0620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3636281233346799"/>
          <c:y val="0.16625555138940964"/>
          <c:w val="0.15731207697709512"/>
          <c:h val="0.2144731908511436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2857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11</xdr:row>
      <xdr:rowOff>209550</xdr:rowOff>
    </xdr:from>
    <xdr:to>
      <xdr:col>2</xdr:col>
      <xdr:colOff>758138</xdr:colOff>
      <xdr:row>14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146EC47-A42A-457B-8702-3AC95BF0D0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875" y="3771900"/>
          <a:ext cx="3682313" cy="914400"/>
        </a:xfrm>
        <a:prstGeom prst="rect">
          <a:avLst/>
        </a:prstGeom>
        <a:ln w="28575">
          <a:solidFill>
            <a:schemeClr val="tx1"/>
          </a:solidFill>
        </a:ln>
      </xdr:spPr>
    </xdr:pic>
    <xdr:clientData/>
  </xdr:twoCellAnchor>
  <xdr:twoCellAnchor>
    <xdr:from>
      <xdr:col>4</xdr:col>
      <xdr:colOff>47625</xdr:colOff>
      <xdr:row>8</xdr:row>
      <xdr:rowOff>180975</xdr:rowOff>
    </xdr:from>
    <xdr:to>
      <xdr:col>10</xdr:col>
      <xdr:colOff>838200</xdr:colOff>
      <xdr:row>17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B0613F1-2396-4C87-8015-DE3D751D98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71F6F-226B-4F21-B418-9400D0E49157}">
  <dimension ref="B1:P11"/>
  <sheetViews>
    <sheetView tabSelected="1" workbookViewId="0">
      <selection activeCell="I7" sqref="I7"/>
    </sheetView>
  </sheetViews>
  <sheetFormatPr defaultRowHeight="28.5" x14ac:dyDescent="0.45"/>
  <cols>
    <col min="1" max="1" width="1.33203125" customWidth="1"/>
    <col min="2" max="2" width="20.1328125" bestFit="1" customWidth="1"/>
    <col min="3" max="3" width="9.53125" customWidth="1"/>
    <col min="4" max="4" width="2.06640625" customWidth="1"/>
    <col min="5" max="5" width="5.9296875" customWidth="1"/>
    <col min="6" max="6" width="8.86328125" bestFit="1" customWidth="1"/>
    <col min="7" max="7" width="12.53125" customWidth="1"/>
    <col min="8" max="8" width="13.33203125" customWidth="1"/>
    <col min="9" max="9" width="12.06640625" customWidth="1"/>
    <col min="10" max="10" width="12" customWidth="1"/>
    <col min="11" max="11" width="7.59765625" bestFit="1" customWidth="1"/>
    <col min="12" max="12" width="15.86328125" customWidth="1"/>
  </cols>
  <sheetData>
    <row r="1" spans="2:16" ht="9.75" customHeight="1" thickBot="1" x14ac:dyDescent="0.5"/>
    <row r="2" spans="2:16" ht="24" customHeight="1" thickBot="1" x14ac:dyDescent="0.5">
      <c r="B2" s="26" t="s">
        <v>1</v>
      </c>
      <c r="C2" s="27"/>
      <c r="E2" s="8" t="s">
        <v>8</v>
      </c>
      <c r="F2" s="11" t="s">
        <v>4</v>
      </c>
      <c r="G2" s="11" t="s">
        <v>11</v>
      </c>
      <c r="H2" s="11" t="s">
        <v>12</v>
      </c>
      <c r="I2" s="11" t="s">
        <v>13</v>
      </c>
      <c r="J2" s="11" t="s">
        <v>5</v>
      </c>
      <c r="K2" s="11" t="s">
        <v>6</v>
      </c>
      <c r="L2" s="19" t="s">
        <v>7</v>
      </c>
    </row>
    <row r="3" spans="2:16" x14ac:dyDescent="0.45">
      <c r="B3" s="2" t="s">
        <v>0</v>
      </c>
      <c r="C3" s="3">
        <v>5</v>
      </c>
      <c r="E3" s="23">
        <v>1</v>
      </c>
      <c r="F3" s="12">
        <f>1000*$C$5</f>
        <v>60</v>
      </c>
      <c r="G3" s="14">
        <f>2%</f>
        <v>0.02</v>
      </c>
      <c r="H3" s="14">
        <f>G3+$C$7+I3</f>
        <v>9.9999999999999985E-3</v>
      </c>
      <c r="I3" s="14">
        <v>-0.02</v>
      </c>
      <c r="J3" s="15">
        <f>F3/(1+H3)^E3</f>
        <v>59.405940594059409</v>
      </c>
      <c r="K3" s="17">
        <f>J3/$J$8</f>
        <v>6.723954557683616E-2</v>
      </c>
      <c r="L3" s="20">
        <f>E3*K3</f>
        <v>6.723954557683616E-2</v>
      </c>
    </row>
    <row r="4" spans="2:16" x14ac:dyDescent="0.45">
      <c r="B4" s="2" t="s">
        <v>2</v>
      </c>
      <c r="C4" s="9">
        <f>RATE(C3,F3,-J8,1000,0)</f>
        <v>8.9947985782213843E-2</v>
      </c>
      <c r="E4" s="23">
        <v>2</v>
      </c>
      <c r="F4" s="12">
        <f t="shared" ref="F4:F6" si="0">1000*$C$5</f>
        <v>60</v>
      </c>
      <c r="G4" s="14">
        <f>4%</f>
        <v>0.04</v>
      </c>
      <c r="H4" s="14">
        <f t="shared" ref="H4:H7" si="1">G4+$C$7+I4</f>
        <v>2.0000000000000004E-2</v>
      </c>
      <c r="I4" s="14">
        <v>-0.03</v>
      </c>
      <c r="J4" s="15">
        <f t="shared" ref="J4:J6" si="2">F4/(1+H4)^E4</f>
        <v>57.670126874279127</v>
      </c>
      <c r="K4" s="17">
        <f>J4/$J$8</f>
        <v>6.5274837593814417E-2</v>
      </c>
      <c r="L4" s="20">
        <f>E4*K4</f>
        <v>0.13054967518762883</v>
      </c>
    </row>
    <row r="5" spans="2:16" ht="29.25" thickBot="1" x14ac:dyDescent="0.5">
      <c r="B5" s="4" t="s">
        <v>3</v>
      </c>
      <c r="C5" s="5">
        <v>0.06</v>
      </c>
      <c r="E5" s="23">
        <v>3</v>
      </c>
      <c r="F5" s="12">
        <f t="shared" si="0"/>
        <v>60</v>
      </c>
      <c r="G5" s="14">
        <f>5%</f>
        <v>0.05</v>
      </c>
      <c r="H5" s="14">
        <f t="shared" si="1"/>
        <v>7.0000000000000007E-2</v>
      </c>
      <c r="I5" s="14">
        <v>0.01</v>
      </c>
      <c r="J5" s="15">
        <f t="shared" si="2"/>
        <v>48.977872613451119</v>
      </c>
      <c r="K5" s="17">
        <f>J5/$J$8</f>
        <v>5.5436373280451798E-2</v>
      </c>
      <c r="L5" s="20">
        <f>E5*K5</f>
        <v>0.16630911984135538</v>
      </c>
    </row>
    <row r="6" spans="2:16" ht="29.25" thickBot="1" x14ac:dyDescent="0.5">
      <c r="E6" s="23">
        <v>4</v>
      </c>
      <c r="F6" s="12">
        <f t="shared" si="0"/>
        <v>60</v>
      </c>
      <c r="G6" s="14">
        <f>6%</f>
        <v>0.06</v>
      </c>
      <c r="H6" s="14">
        <f t="shared" si="1"/>
        <v>7.9999999999999988E-2</v>
      </c>
      <c r="I6" s="14">
        <v>0.01</v>
      </c>
      <c r="J6" s="15">
        <f t="shared" si="2"/>
        <v>44.101791167787198</v>
      </c>
      <c r="K6" s="17">
        <f>J6/$J$8</f>
        <v>4.9917304020316709E-2</v>
      </c>
      <c r="L6" s="20">
        <f>E6*K6</f>
        <v>0.19966921608126684</v>
      </c>
    </row>
    <row r="7" spans="2:16" ht="29.25" thickBot="1" x14ac:dyDescent="0.5">
      <c r="B7" s="6" t="s">
        <v>9</v>
      </c>
      <c r="C7" s="10">
        <v>0.01</v>
      </c>
      <c r="E7" s="23">
        <v>5</v>
      </c>
      <c r="F7" s="12">
        <f>1000*(1+$C$5)</f>
        <v>1060</v>
      </c>
      <c r="G7" s="14">
        <f>6.5%</f>
        <v>6.5000000000000002E-2</v>
      </c>
      <c r="H7" s="14">
        <f t="shared" si="1"/>
        <v>9.5000000000000001E-2</v>
      </c>
      <c r="I7" s="14">
        <v>0.02</v>
      </c>
      <c r="J7" s="24">
        <f>F7/(1+H7)^E7</f>
        <v>673.34132519877301</v>
      </c>
      <c r="K7" s="17">
        <f>J7/$J$8</f>
        <v>0.76213193952858083</v>
      </c>
      <c r="L7" s="21">
        <f>E7*K7</f>
        <v>3.8106596976429041</v>
      </c>
    </row>
    <row r="8" spans="2:16" ht="29.25" thickBot="1" x14ac:dyDescent="0.5">
      <c r="E8" s="7"/>
      <c r="F8" s="13"/>
      <c r="G8" s="13"/>
      <c r="H8" s="13"/>
      <c r="I8" s="13"/>
      <c r="J8" s="16">
        <f>SUM(J3:J7)</f>
        <v>883.49705644834989</v>
      </c>
      <c r="K8" s="18">
        <f>SUM(K3:K7)</f>
        <v>0.99999999999999989</v>
      </c>
      <c r="L8" s="22" t="str">
        <f>"Duration = " &amp; ROUND(SUM(L3:L7),2)</f>
        <v>Duration = 4.37</v>
      </c>
    </row>
    <row r="9" spans="2:16" ht="15" customHeight="1" thickBot="1" x14ac:dyDescent="0.5"/>
    <row r="10" spans="2:16" ht="29.25" thickBot="1" x14ac:dyDescent="0.5">
      <c r="B10" s="6" t="s">
        <v>10</v>
      </c>
      <c r="C10" s="25">
        <f>(I3*L3+I4*L4+I5*L5+I6*L6+I7*L7)*100</f>
        <v>7.4611696144918724</v>
      </c>
    </row>
    <row r="11" spans="2:16" x14ac:dyDescent="0.45">
      <c r="P11" s="1"/>
    </row>
  </sheetData>
  <mergeCells count="1">
    <mergeCell ref="B2:C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Key Rate Duration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</dc:creator>
  <cp:lastModifiedBy>Ryan</cp:lastModifiedBy>
  <dcterms:created xsi:type="dcterms:W3CDTF">2022-02-26T22:35:20Z</dcterms:created>
  <dcterms:modified xsi:type="dcterms:W3CDTF">2022-03-20T22:44:07Z</dcterms:modified>
</cp:coreProperties>
</file>