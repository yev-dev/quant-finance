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3b9aed7cb0d2b3/Documents/YouTube Videos/Financial Risk Management/PFE  EPE  EFV/"/>
    </mc:Choice>
  </mc:AlternateContent>
  <xr:revisionPtr revIDLastSave="67" documentId="8_{D5F52BE8-3147-4FF0-8F75-F7698CD480C6}" xr6:coauthVersionLast="47" xr6:coauthVersionMax="47" xr10:uidLastSave="{6310788F-2B2F-4D46-AC7F-D20DC0F6B7EE}"/>
  <bookViews>
    <workbookView xWindow="-103" yWindow="-103" windowWidth="33120" windowHeight="18720" xr2:uid="{16C13A6F-BFFD-4F74-BDCC-940B6B1090EC}"/>
  </bookViews>
  <sheets>
    <sheet name="FRM" sheetId="1" r:id="rId1"/>
    <sheet name="Chart Hel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F3" i="1"/>
  <c r="E4" i="1"/>
  <c r="E3" i="1"/>
  <c r="C8" i="1"/>
  <c r="C12" i="1" s="1"/>
  <c r="C11" i="1"/>
  <c r="F4" i="2" s="1"/>
  <c r="C10" i="1"/>
  <c r="G3" i="2" s="1"/>
  <c r="C9" i="1"/>
  <c r="E4" i="2" s="1"/>
  <c r="C4" i="2"/>
  <c r="C3" i="2"/>
  <c r="F4" i="1"/>
  <c r="D4" i="2" l="1"/>
  <c r="D3" i="2"/>
  <c r="E3" i="2"/>
  <c r="G4" i="2"/>
  <c r="F3" i="2"/>
  <c r="E5" i="1"/>
  <c r="F5" i="1" s="1"/>
  <c r="E6" i="1" l="1"/>
  <c r="F6" i="1" s="1"/>
  <c r="E7" i="1" l="1"/>
  <c r="F7" i="1" s="1"/>
  <c r="E8" i="1" l="1"/>
  <c r="F8" i="1" s="1"/>
  <c r="E9" i="1" l="1"/>
  <c r="F9" i="1" s="1"/>
  <c r="E10" i="1" l="1"/>
  <c r="F10" i="1" s="1"/>
  <c r="E11" i="1" l="1"/>
  <c r="F11" i="1" s="1"/>
  <c r="E12" i="1" l="1"/>
  <c r="F12" i="1" s="1"/>
  <c r="E13" i="1" l="1"/>
  <c r="F13" i="1" s="1"/>
  <c r="E14" i="1" l="1"/>
  <c r="F14" i="1" s="1"/>
  <c r="E15" i="1" l="1"/>
  <c r="F15" i="1" s="1"/>
  <c r="E16" i="1" l="1"/>
  <c r="F16" i="1" s="1"/>
  <c r="E17" i="1" l="1"/>
  <c r="F17" i="1" s="1"/>
  <c r="E18" i="1" l="1"/>
  <c r="F18" i="1" s="1"/>
  <c r="E19" i="1" l="1"/>
  <c r="F19" i="1" s="1"/>
  <c r="E20" i="1" l="1"/>
  <c r="F20" i="1" s="1"/>
  <c r="E21" i="1" l="1"/>
  <c r="F21" i="1" s="1"/>
  <c r="E22" i="1" l="1"/>
  <c r="F22" i="1" s="1"/>
  <c r="E23" i="1" l="1"/>
  <c r="F23" i="1" s="1"/>
  <c r="E24" i="1" l="1"/>
  <c r="F24" i="1" s="1"/>
  <c r="E25" i="1" l="1"/>
  <c r="F25" i="1" s="1"/>
  <c r="E26" i="1" l="1"/>
  <c r="F26" i="1" s="1"/>
  <c r="E27" i="1" l="1"/>
  <c r="F27" i="1" s="1"/>
  <c r="E28" i="1" l="1"/>
  <c r="F28" i="1" s="1"/>
  <c r="E29" i="1" l="1"/>
  <c r="F29" i="1" s="1"/>
  <c r="E30" i="1" l="1"/>
  <c r="F30" i="1" s="1"/>
  <c r="E31" i="1" l="1"/>
  <c r="F31" i="1" s="1"/>
  <c r="E32" i="1" l="1"/>
  <c r="F32" i="1" s="1"/>
  <c r="E33" i="1" l="1"/>
  <c r="F33" i="1" s="1"/>
  <c r="E34" i="1" l="1"/>
  <c r="F34" i="1" s="1"/>
  <c r="E35" i="1" l="1"/>
  <c r="F35" i="1" s="1"/>
  <c r="E36" i="1" l="1"/>
  <c r="F36" i="1" s="1"/>
  <c r="E37" i="1" l="1"/>
  <c r="F37" i="1" l="1"/>
  <c r="E38" i="1"/>
  <c r="F38" i="1" s="1"/>
  <c r="E39" i="1" l="1"/>
  <c r="F39" i="1" l="1"/>
  <c r="E40" i="1"/>
  <c r="F40" i="1" s="1"/>
  <c r="E41" i="1" l="1"/>
  <c r="F41" i="1" l="1"/>
  <c r="E42" i="1"/>
  <c r="F42" i="1" s="1"/>
  <c r="E43" i="1" l="1"/>
  <c r="F43" i="1" s="1"/>
  <c r="E44" i="1" l="1"/>
  <c r="F44" i="1" s="1"/>
  <c r="E45" i="1" l="1"/>
  <c r="F45" i="1" s="1"/>
  <c r="E46" i="1" l="1"/>
  <c r="F46" i="1" s="1"/>
  <c r="E47" i="1" l="1"/>
  <c r="F47" i="1" s="1"/>
  <c r="E48" i="1" l="1"/>
  <c r="F48" i="1" s="1"/>
  <c r="E49" i="1" l="1"/>
  <c r="F49" i="1" s="1"/>
  <c r="E50" i="1" l="1"/>
  <c r="F50" i="1" s="1"/>
  <c r="E51" i="1" l="1"/>
  <c r="F51" i="1" s="1"/>
  <c r="E52" i="1" l="1"/>
  <c r="F52" i="1" s="1"/>
  <c r="E53" i="1" l="1"/>
  <c r="F53" i="1" s="1"/>
  <c r="E54" i="1" l="1"/>
  <c r="F54" i="1" s="1"/>
  <c r="E55" i="1" l="1"/>
  <c r="F55" i="1" s="1"/>
  <c r="E56" i="1" l="1"/>
  <c r="F56" i="1" s="1"/>
  <c r="E57" i="1" l="1"/>
  <c r="F57" i="1" s="1"/>
  <c r="E58" i="1" l="1"/>
  <c r="F58" i="1" s="1"/>
  <c r="E59" i="1" l="1"/>
  <c r="F59" i="1" s="1"/>
  <c r="E60" i="1" l="1"/>
  <c r="F60" i="1" s="1"/>
  <c r="E61" i="1" l="1"/>
  <c r="F61" i="1" s="1"/>
  <c r="E62" i="1" l="1"/>
  <c r="F62" i="1" s="1"/>
  <c r="E63" i="1" l="1"/>
  <c r="F63" i="1" s="1"/>
  <c r="E64" i="1" l="1"/>
  <c r="F64" i="1" s="1"/>
  <c r="E65" i="1" l="1"/>
  <c r="F65" i="1" s="1"/>
  <c r="E66" i="1" l="1"/>
  <c r="F66" i="1" s="1"/>
  <c r="E67" i="1" l="1"/>
  <c r="F67" i="1" s="1"/>
  <c r="E68" i="1" l="1"/>
  <c r="F68" i="1" s="1"/>
  <c r="E69" i="1" l="1"/>
  <c r="F69" i="1" s="1"/>
  <c r="E70" i="1" l="1"/>
  <c r="F70" i="1" s="1"/>
  <c r="E71" i="1" l="1"/>
  <c r="F71" i="1" s="1"/>
  <c r="E72" i="1" l="1"/>
  <c r="F72" i="1" s="1"/>
  <c r="E73" i="1" l="1"/>
  <c r="F73" i="1" s="1"/>
  <c r="E74" i="1" l="1"/>
  <c r="F74" i="1" s="1"/>
  <c r="E75" i="1" l="1"/>
  <c r="F75" i="1" s="1"/>
  <c r="E76" i="1" l="1"/>
  <c r="F76" i="1" s="1"/>
  <c r="E77" i="1" l="1"/>
  <c r="F77" i="1" s="1"/>
  <c r="E78" i="1" l="1"/>
  <c r="F78" i="1" s="1"/>
  <c r="E79" i="1" l="1"/>
  <c r="F79" i="1" s="1"/>
  <c r="E80" i="1" l="1"/>
  <c r="F80" i="1" s="1"/>
  <c r="E81" i="1" l="1"/>
  <c r="F81" i="1" s="1"/>
  <c r="E82" i="1" l="1"/>
  <c r="F82" i="1" s="1"/>
  <c r="E83" i="1" l="1"/>
  <c r="F8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tc={4389CC01-ABE2-44B5-8BF7-D30455C13E47}</author>
    <author>tc={C957ADEF-6F44-44E8-9267-00D879510188}</author>
    <author>tc={9B318DE3-527E-43F3-8619-9FEF4F1B4CFD}</author>
    <author>tc={05C69773-D55A-4CB6-9784-B0C356F5CCCB}</author>
    <author>tc={BC747E88-F8ED-47E9-9CC2-6489A3B21ED7}</author>
  </authors>
  <commentList>
    <comment ref="B8" authorId="0" shapeId="0" xr:uid="{4389CC01-ABE2-44B5-8BF7-D30455C13E4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Positive Exposure (EPE): The time-averaged value of Expected Exposure (EE), focusing only on the positive values of potential future exposures.</t>
      </text>
    </comment>
    <comment ref="B9" authorId="1" shapeId="0" xr:uid="{C957ADEF-6F44-44E8-9267-00D87951018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Negative Exposure (ENE): The time-averaged value of the negative potential future exposures, typically less relevant in counterparty credit risk as it represents the counterparty's potential gain.</t>
      </text>
    </comment>
    <comment ref="B10" authorId="2" shapeId="0" xr:uid="{9B318DE3-527E-43F3-8619-9FEF4F1B4CFD}">
      <text>
        <t>[Threaded comment]
Your version of Excel allows you to read this threaded comment; however, any edits to it will get removed if the file is opened in a newer version of Excel. Learn more: https://go.microsoft.com/fwlink/?linkid=870924
Comment:
    PFE 99%: The Potential Future Exposure at a 99% confidence level, representing the maximum exposure that will not be exceeded with a 99% probability.</t>
      </text>
    </comment>
    <comment ref="B11" authorId="3" shapeId="0" xr:uid="{05C69773-D55A-4CB6-9784-B0C356F5CC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PFE 1%: The Potential Future Exposure at a 1% confidence level, representing the minimum exposure that will not be exceeded with a 1% probability (i.e., the left tail of the distribution).
</t>
      </text>
    </comment>
    <comment ref="B12" authorId="4" shapeId="0" xr:uid="{BC747E88-F8ED-47E9-9CC2-6489A3B21E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“EPE is defined as the average EE through time.” This implies that EPE is a time-averaged measure of EE, but at a single point in time, EE and EPE describe the same quantity. </t>
      </text>
    </comment>
  </commentList>
</comments>
</file>

<file path=xl/sharedStrings.xml><?xml version="1.0" encoding="utf-8"?>
<sst xmlns="http://schemas.openxmlformats.org/spreadsheetml/2006/main" count="19" uniqueCount="18">
  <si>
    <t>Alpha (confidence level)</t>
  </si>
  <si>
    <t>Inputs</t>
  </si>
  <si>
    <t>Risk Metrics</t>
  </si>
  <si>
    <t>Expected positive exposure (EPE)</t>
  </si>
  <si>
    <t>Expected negative exposure (ENE)</t>
  </si>
  <si>
    <t>PFE 99%</t>
  </si>
  <si>
    <t>PFE 1%</t>
  </si>
  <si>
    <t>Annual Return</t>
  </si>
  <si>
    <t>Probability</t>
  </si>
  <si>
    <t>Mean</t>
  </si>
  <si>
    <t>Axis</t>
  </si>
  <si>
    <t>EPE</t>
  </si>
  <si>
    <t>ENE</t>
  </si>
  <si>
    <t>Expected Exposure (EE)</t>
  </si>
  <si>
    <t>*Source: Jon Gregory: Counterparty Credit Risk</t>
  </si>
  <si>
    <t>Standard Deviation (sigma)</t>
  </si>
  <si>
    <t>PFE at 99%</t>
  </si>
  <si>
    <t>PFE at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</si>
</sst>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5" x14ac:knownFonts="1">
    <font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9"/>
      <color indexed="81"/>
      <name val="Tahoma"/>
      <family val="2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0" fillId="0" borderId="1" xfId="0" applyBorder="1"/>
    <xf numFmtId="0" fontId="0" fillId="0" borderId="2" xfId="0" applyBorder="1"/>
    <xf numFmtId="10" fontId="0" fillId="0" borderId="3" xfId="1" applyNumberFormat="1" applyFont="1" applyBorder="1"/>
    <xf numFmtId="10" fontId="0" fillId="0" borderId="4" xfId="1" applyNumberFormat="1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10" fontId="0" fillId="0" borderId="0" xfId="0" applyNumberFormat="1"/>
    <xf numFmtId="165" fontId="0" fillId="0" borderId="0" xfId="1" applyNumberFormat="1" applyFont="1"/>
    <xf numFmtId="0" fontId="4" fillId="0" borderId="0" xfId="0" applyFont="1" applyAlignment="1">
      <alignment vertical="center"/>
    </xf>
    <xf numFmtId="9" fontId="0" fillId="3" borderId="3" xfId="0" applyNumberFormat="1" applyFill="1" applyBorder="1"/>
    <xf numFmtId="9" fontId="0" fillId="3" borderId="4" xfId="0" applyNumberFormat="1" applyFill="1" applyBorder="1"/>
    <xf numFmtId="1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'Chart Helper'!$C$2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'Chart Helper'!$C$3:$C$4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xVal>
          <c:yVal>
            <c:numRef>
              <c:f>'Chart Helper'!$B$3:$B$4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52-4198-8FDA-DA622826816E}"/>
            </c:ext>
          </c:extLst>
        </c:ser>
        <c:ser>
          <c:idx val="2"/>
          <c:order val="1"/>
          <c:tx>
            <c:strRef>
              <c:f>'Chart Helper'!$D$2</c:f>
              <c:strCache>
                <c:ptCount val="1"/>
                <c:pt idx="0">
                  <c:v>EPE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'Chart Helper'!$D$3:$D$4</c:f>
              <c:numCache>
                <c:formatCode>0.00%</c:formatCode>
                <c:ptCount val="2"/>
                <c:pt idx="0">
                  <c:v>6.9779655740130619E-2</c:v>
                </c:pt>
                <c:pt idx="1">
                  <c:v>6.9779655740130619E-2</c:v>
                </c:pt>
              </c:numCache>
            </c:numRef>
          </c:xVal>
          <c:yVal>
            <c:numRef>
              <c:f>'Chart Helper'!$B$3:$B$4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52-4198-8FDA-DA622826816E}"/>
            </c:ext>
          </c:extLst>
        </c:ser>
        <c:ser>
          <c:idx val="3"/>
          <c:order val="2"/>
          <c:tx>
            <c:strRef>
              <c:f>'Chart Helper'!$E$2</c:f>
              <c:strCache>
                <c:ptCount val="1"/>
                <c:pt idx="0">
                  <c:v>ENE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'Chart Helper'!$E$3:$E$4</c:f>
              <c:numCache>
                <c:formatCode>0.00%</c:formatCode>
                <c:ptCount val="2"/>
                <c:pt idx="0">
                  <c:v>-1.977965574013061E-2</c:v>
                </c:pt>
                <c:pt idx="1">
                  <c:v>-1.977965574013061E-2</c:v>
                </c:pt>
              </c:numCache>
            </c:numRef>
          </c:xVal>
          <c:yVal>
            <c:numRef>
              <c:f>'Chart Helper'!$B$3:$B$4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352-4198-8FDA-DA622826816E}"/>
            </c:ext>
          </c:extLst>
        </c:ser>
        <c:ser>
          <c:idx val="4"/>
          <c:order val="3"/>
          <c:tx>
            <c:strRef>
              <c:f>'Chart Helper'!$F$2</c:f>
              <c:strCache>
                <c:ptCount val="1"/>
                <c:pt idx="0">
                  <c:v>PFE 1%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'Chart Helper'!$F$3:$F$4</c:f>
              <c:numCache>
                <c:formatCode>0.00%</c:formatCode>
                <c:ptCount val="2"/>
                <c:pt idx="0">
                  <c:v>-0.18263478740408406</c:v>
                </c:pt>
                <c:pt idx="1">
                  <c:v>-0.18263478740408406</c:v>
                </c:pt>
              </c:numCache>
            </c:numRef>
          </c:xVal>
          <c:yVal>
            <c:numRef>
              <c:f>'Chart Helper'!$B$3:$B$4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352-4198-8FDA-DA622826816E}"/>
            </c:ext>
          </c:extLst>
        </c:ser>
        <c:ser>
          <c:idx val="5"/>
          <c:order val="4"/>
          <c:tx>
            <c:strRef>
              <c:f>'Chart Helper'!$G$2</c:f>
              <c:strCache>
                <c:ptCount val="1"/>
                <c:pt idx="0">
                  <c:v>PFE 99%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'Chart Helper'!$G$3:$G$4</c:f>
              <c:numCache>
                <c:formatCode>0.00%</c:formatCode>
                <c:ptCount val="2"/>
                <c:pt idx="0">
                  <c:v>0.2826347874040841</c:v>
                </c:pt>
                <c:pt idx="1">
                  <c:v>0.2826347874040841</c:v>
                </c:pt>
              </c:numCache>
            </c:numRef>
          </c:xVal>
          <c:yVal>
            <c:numRef>
              <c:f>'Chart Helper'!$B$3:$B$4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352-4198-8FDA-DA622826816E}"/>
            </c:ext>
          </c:extLst>
        </c:ser>
        <c:ser>
          <c:idx val="0"/>
          <c:order val="5"/>
          <c:tx>
            <c:strRef>
              <c:f>FRM!$F$2</c:f>
              <c:strCache>
                <c:ptCount val="1"/>
                <c:pt idx="0">
                  <c:v>Probability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FRM!$E$3:$E$83</c:f>
              <c:numCache>
                <c:formatCode>0.00%</c:formatCode>
                <c:ptCount val="81"/>
                <c:pt idx="0">
                  <c:v>-0.35000000000000003</c:v>
                </c:pt>
                <c:pt idx="1">
                  <c:v>-0.34</c:v>
                </c:pt>
                <c:pt idx="2">
                  <c:v>-0.33</c:v>
                </c:pt>
                <c:pt idx="3">
                  <c:v>-0.32</c:v>
                </c:pt>
                <c:pt idx="4">
                  <c:v>-0.31</c:v>
                </c:pt>
                <c:pt idx="5">
                  <c:v>-0.3</c:v>
                </c:pt>
                <c:pt idx="6">
                  <c:v>-0.28999999999999998</c:v>
                </c:pt>
                <c:pt idx="7">
                  <c:v>-0.27999999999999997</c:v>
                </c:pt>
                <c:pt idx="8">
                  <c:v>-0.26999999999999996</c:v>
                </c:pt>
                <c:pt idx="9">
                  <c:v>-0.25999999999999995</c:v>
                </c:pt>
                <c:pt idx="10">
                  <c:v>-0.24999999999999994</c:v>
                </c:pt>
                <c:pt idx="11">
                  <c:v>-0.23999999999999994</c:v>
                </c:pt>
                <c:pt idx="12">
                  <c:v>-0.22999999999999993</c:v>
                </c:pt>
                <c:pt idx="13">
                  <c:v>-0.21999999999999992</c:v>
                </c:pt>
                <c:pt idx="14">
                  <c:v>-0.20999999999999991</c:v>
                </c:pt>
                <c:pt idx="15">
                  <c:v>-0.1999999999999999</c:v>
                </c:pt>
                <c:pt idx="16">
                  <c:v>-0.18999999999999989</c:v>
                </c:pt>
                <c:pt idx="17">
                  <c:v>-0.17999999999999988</c:v>
                </c:pt>
                <c:pt idx="18">
                  <c:v>-0.16999999999999987</c:v>
                </c:pt>
                <c:pt idx="19">
                  <c:v>-0.15999999999999986</c:v>
                </c:pt>
                <c:pt idx="20">
                  <c:v>-0.14999999999999986</c:v>
                </c:pt>
                <c:pt idx="21">
                  <c:v>-0.13999999999999985</c:v>
                </c:pt>
                <c:pt idx="22">
                  <c:v>-0.12999999999999984</c:v>
                </c:pt>
                <c:pt idx="23">
                  <c:v>-0.11999999999999984</c:v>
                </c:pt>
                <c:pt idx="24">
                  <c:v>-0.10999999999999985</c:v>
                </c:pt>
                <c:pt idx="25">
                  <c:v>-9.9999999999999853E-2</c:v>
                </c:pt>
                <c:pt idx="26">
                  <c:v>-8.9999999999999858E-2</c:v>
                </c:pt>
                <c:pt idx="27">
                  <c:v>-7.9999999999999863E-2</c:v>
                </c:pt>
                <c:pt idx="28">
                  <c:v>-6.9999999999999868E-2</c:v>
                </c:pt>
                <c:pt idx="29">
                  <c:v>-5.9999999999999866E-2</c:v>
                </c:pt>
                <c:pt idx="30">
                  <c:v>-4.9999999999999864E-2</c:v>
                </c:pt>
                <c:pt idx="31">
                  <c:v>-3.9999999999999862E-2</c:v>
                </c:pt>
                <c:pt idx="32">
                  <c:v>-2.999999999999986E-2</c:v>
                </c:pt>
                <c:pt idx="33">
                  <c:v>-1.9999999999999858E-2</c:v>
                </c:pt>
                <c:pt idx="34">
                  <c:v>-9.999999999999858E-3</c:v>
                </c:pt>
                <c:pt idx="35">
                  <c:v>1.4224732503009818E-16</c:v>
                </c:pt>
                <c:pt idx="36">
                  <c:v>1.0000000000000142E-2</c:v>
                </c:pt>
                <c:pt idx="37">
                  <c:v>2.0000000000000143E-2</c:v>
                </c:pt>
                <c:pt idx="38">
                  <c:v>3.0000000000000145E-2</c:v>
                </c:pt>
                <c:pt idx="39">
                  <c:v>4.0000000000000147E-2</c:v>
                </c:pt>
                <c:pt idx="40">
                  <c:v>5.0000000000000148E-2</c:v>
                </c:pt>
                <c:pt idx="41">
                  <c:v>6.000000000000015E-2</c:v>
                </c:pt>
                <c:pt idx="42">
                  <c:v>7.0000000000000145E-2</c:v>
                </c:pt>
                <c:pt idx="43">
                  <c:v>8.000000000000014E-2</c:v>
                </c:pt>
                <c:pt idx="44">
                  <c:v>9.0000000000000135E-2</c:v>
                </c:pt>
                <c:pt idx="45">
                  <c:v>0.10000000000000013</c:v>
                </c:pt>
                <c:pt idx="46">
                  <c:v>0.11000000000000013</c:v>
                </c:pt>
                <c:pt idx="47">
                  <c:v>0.12000000000000012</c:v>
                </c:pt>
                <c:pt idx="48">
                  <c:v>0.13000000000000012</c:v>
                </c:pt>
                <c:pt idx="49">
                  <c:v>0.14000000000000012</c:v>
                </c:pt>
                <c:pt idx="50">
                  <c:v>0.15000000000000013</c:v>
                </c:pt>
                <c:pt idx="51">
                  <c:v>0.16000000000000014</c:v>
                </c:pt>
                <c:pt idx="52">
                  <c:v>0.17000000000000015</c:v>
                </c:pt>
                <c:pt idx="53">
                  <c:v>0.18000000000000016</c:v>
                </c:pt>
                <c:pt idx="54">
                  <c:v>0.19000000000000017</c:v>
                </c:pt>
                <c:pt idx="55">
                  <c:v>0.20000000000000018</c:v>
                </c:pt>
                <c:pt idx="56">
                  <c:v>0.21000000000000019</c:v>
                </c:pt>
                <c:pt idx="57">
                  <c:v>0.2200000000000002</c:v>
                </c:pt>
                <c:pt idx="58">
                  <c:v>0.2300000000000002</c:v>
                </c:pt>
                <c:pt idx="59">
                  <c:v>0.24000000000000021</c:v>
                </c:pt>
                <c:pt idx="60">
                  <c:v>0.25000000000000022</c:v>
                </c:pt>
                <c:pt idx="61">
                  <c:v>0.26000000000000023</c:v>
                </c:pt>
                <c:pt idx="62">
                  <c:v>0.27000000000000024</c:v>
                </c:pt>
                <c:pt idx="63">
                  <c:v>0.28000000000000025</c:v>
                </c:pt>
                <c:pt idx="64">
                  <c:v>0.29000000000000026</c:v>
                </c:pt>
                <c:pt idx="65">
                  <c:v>0.30000000000000027</c:v>
                </c:pt>
                <c:pt idx="66">
                  <c:v>0.31000000000000028</c:v>
                </c:pt>
                <c:pt idx="67">
                  <c:v>0.32000000000000028</c:v>
                </c:pt>
                <c:pt idx="68">
                  <c:v>0.33000000000000029</c:v>
                </c:pt>
                <c:pt idx="69">
                  <c:v>0.3400000000000003</c:v>
                </c:pt>
                <c:pt idx="70">
                  <c:v>0.35000000000000031</c:v>
                </c:pt>
                <c:pt idx="71">
                  <c:v>0.36000000000000032</c:v>
                </c:pt>
                <c:pt idx="72">
                  <c:v>0.37000000000000033</c:v>
                </c:pt>
                <c:pt idx="73">
                  <c:v>0.38000000000000034</c:v>
                </c:pt>
                <c:pt idx="74">
                  <c:v>0.39000000000000035</c:v>
                </c:pt>
                <c:pt idx="75">
                  <c:v>0.40000000000000036</c:v>
                </c:pt>
                <c:pt idx="76">
                  <c:v>0.41000000000000036</c:v>
                </c:pt>
                <c:pt idx="77">
                  <c:v>0.42000000000000037</c:v>
                </c:pt>
                <c:pt idx="78">
                  <c:v>0.43000000000000038</c:v>
                </c:pt>
                <c:pt idx="79">
                  <c:v>0.44000000000000039</c:v>
                </c:pt>
                <c:pt idx="80">
                  <c:v>0.4500000000000004</c:v>
                </c:pt>
              </c:numCache>
            </c:numRef>
          </c:xVal>
          <c:yVal>
            <c:numRef>
              <c:f>FRM!$F$3:$F$83</c:f>
              <c:numCache>
                <c:formatCode>0.000%</c:formatCode>
                <c:ptCount val="81"/>
                <c:pt idx="0">
                  <c:v>1.3383022576488536E-5</c:v>
                </c:pt>
                <c:pt idx="1">
                  <c:v>1.9865547139277272E-5</c:v>
                </c:pt>
                <c:pt idx="2">
                  <c:v>2.9194692579146026E-5</c:v>
                </c:pt>
                <c:pt idx="3">
                  <c:v>4.2478027055075223E-5</c:v>
                </c:pt>
                <c:pt idx="4">
                  <c:v>6.1190193011377296E-5</c:v>
                </c:pt>
                <c:pt idx="5">
                  <c:v>8.7268269504576173E-5</c:v>
                </c:pt>
                <c:pt idx="6">
                  <c:v>1.2322191684730209E-4</c:v>
                </c:pt>
                <c:pt idx="7">
                  <c:v>1.7225689390536843E-4</c:v>
                </c:pt>
                <c:pt idx="8">
                  <c:v>2.3840882014648484E-4</c:v>
                </c:pt>
                <c:pt idx="9">
                  <c:v>3.2668190561999273E-4</c:v>
                </c:pt>
                <c:pt idx="10">
                  <c:v>4.431848411938019E-4</c:v>
                </c:pt>
                <c:pt idx="11">
                  <c:v>5.9525324197758696E-4</c:v>
                </c:pt>
                <c:pt idx="12">
                  <c:v>7.9154515829799889E-4</c:v>
                </c:pt>
                <c:pt idx="13">
                  <c:v>1.0420934814422628E-3</c:v>
                </c:pt>
                <c:pt idx="14">
                  <c:v>1.358296923368566E-3</c:v>
                </c:pt>
                <c:pt idx="15">
                  <c:v>1.7528300493568599E-3</c:v>
                </c:pt>
                <c:pt idx="16">
                  <c:v>2.2394530294842967E-3</c:v>
                </c:pt>
                <c:pt idx="17">
                  <c:v>2.8327037741601273E-3</c:v>
                </c:pt>
                <c:pt idx="18">
                  <c:v>3.5474592846231568E-3</c:v>
                </c:pt>
                <c:pt idx="19">
                  <c:v>4.3983595980427344E-3</c:v>
                </c:pt>
                <c:pt idx="20">
                  <c:v>5.3990966513188243E-3</c:v>
                </c:pt>
                <c:pt idx="21">
                  <c:v>6.5615814774676803E-3</c:v>
                </c:pt>
                <c:pt idx="22">
                  <c:v>7.8950158300894416E-3</c:v>
                </c:pt>
                <c:pt idx="23">
                  <c:v>9.4049077376887197E-3</c:v>
                </c:pt>
                <c:pt idx="24">
                  <c:v>1.1092083467945581E-2</c:v>
                </c:pt>
                <c:pt idx="25">
                  <c:v>1.2951759566589203E-2</c:v>
                </c:pt>
                <c:pt idx="26">
                  <c:v>1.4972746563574519E-2</c:v>
                </c:pt>
                <c:pt idx="27">
                  <c:v>1.713685920478077E-2</c:v>
                </c:pt>
                <c:pt idx="28">
                  <c:v>1.9418605498321327E-2</c:v>
                </c:pt>
                <c:pt idx="29">
                  <c:v>2.1785217703255085E-2</c:v>
                </c:pt>
                <c:pt idx="30">
                  <c:v>2.4197072451914367E-2</c:v>
                </c:pt>
                <c:pt idx="31">
                  <c:v>2.6608524989875516E-2</c:v>
                </c:pt>
                <c:pt idx="32">
                  <c:v>2.8969155276148309E-2</c:v>
                </c:pt>
                <c:pt idx="33">
                  <c:v>3.1225393336676156E-2</c:v>
                </c:pt>
                <c:pt idx="34">
                  <c:v>3.3322460289179991E-2</c:v>
                </c:pt>
                <c:pt idx="35">
                  <c:v>3.5206532676429973E-2</c:v>
                </c:pt>
                <c:pt idx="36">
                  <c:v>3.6827014030332353E-2</c:v>
                </c:pt>
                <c:pt idx="37">
                  <c:v>3.8138781546052422E-2</c:v>
                </c:pt>
                <c:pt idx="38">
                  <c:v>3.9104269397545598E-2</c:v>
                </c:pt>
                <c:pt idx="39">
                  <c:v>3.9695254747701178E-2</c:v>
                </c:pt>
                <c:pt idx="40">
                  <c:v>3.9894228040143268E-2</c:v>
                </c:pt>
                <c:pt idx="41">
                  <c:v>3.9695254747701171E-2</c:v>
                </c:pt>
                <c:pt idx="42">
                  <c:v>3.9104269397545577E-2</c:v>
                </c:pt>
                <c:pt idx="43">
                  <c:v>3.8138781546052394E-2</c:v>
                </c:pt>
                <c:pt idx="44">
                  <c:v>3.6827014030332311E-2</c:v>
                </c:pt>
                <c:pt idx="45">
                  <c:v>3.5206532676429932E-2</c:v>
                </c:pt>
                <c:pt idx="46">
                  <c:v>3.3322460289179942E-2</c:v>
                </c:pt>
                <c:pt idx="47">
                  <c:v>3.1225393336676097E-2</c:v>
                </c:pt>
                <c:pt idx="48">
                  <c:v>2.896915527614825E-2</c:v>
                </c:pt>
                <c:pt idx="49">
                  <c:v>2.6608524989875457E-2</c:v>
                </c:pt>
                <c:pt idx="50">
                  <c:v>2.4197072451914301E-2</c:v>
                </c:pt>
                <c:pt idx="51">
                  <c:v>2.1785217703255019E-2</c:v>
                </c:pt>
                <c:pt idx="52">
                  <c:v>1.9418605498321258E-2</c:v>
                </c:pt>
                <c:pt idx="53">
                  <c:v>1.71368592047807E-2</c:v>
                </c:pt>
                <c:pt idx="54">
                  <c:v>1.4972746563574451E-2</c:v>
                </c:pt>
                <c:pt idx="55">
                  <c:v>1.2951759566589139E-2</c:v>
                </c:pt>
                <c:pt idx="56">
                  <c:v>1.1092083467945523E-2</c:v>
                </c:pt>
                <c:pt idx="57">
                  <c:v>9.4049077376886607E-3</c:v>
                </c:pt>
                <c:pt idx="58">
                  <c:v>7.8950158300893861E-3</c:v>
                </c:pt>
                <c:pt idx="59">
                  <c:v>6.5615814774676318E-3</c:v>
                </c:pt>
                <c:pt idx="60">
                  <c:v>5.399096651318781E-3</c:v>
                </c:pt>
                <c:pt idx="61">
                  <c:v>4.398359598042698E-3</c:v>
                </c:pt>
                <c:pt idx="62">
                  <c:v>3.5474592846231252E-3</c:v>
                </c:pt>
                <c:pt idx="63">
                  <c:v>2.8327037741601008E-3</c:v>
                </c:pt>
                <c:pt idx="64">
                  <c:v>2.2394530294842759E-3</c:v>
                </c:pt>
                <c:pt idx="65">
                  <c:v>1.7528300493568419E-3</c:v>
                </c:pt>
                <c:pt idx="66">
                  <c:v>1.3582969233685521E-3</c:v>
                </c:pt>
                <c:pt idx="67">
                  <c:v>1.0420934814422515E-3</c:v>
                </c:pt>
                <c:pt idx="68">
                  <c:v>7.9154515829798979E-4</c:v>
                </c:pt>
                <c:pt idx="69">
                  <c:v>5.9525324197758013E-4</c:v>
                </c:pt>
                <c:pt idx="70">
                  <c:v>4.4318484119379681E-4</c:v>
                </c:pt>
                <c:pt idx="71">
                  <c:v>3.2668190561998894E-4</c:v>
                </c:pt>
                <c:pt idx="72">
                  <c:v>2.3840882014648172E-4</c:v>
                </c:pt>
                <c:pt idx="73">
                  <c:v>1.7225689390536612E-4</c:v>
                </c:pt>
                <c:pt idx="74">
                  <c:v>1.2322191684730044E-4</c:v>
                </c:pt>
                <c:pt idx="75">
                  <c:v>8.7268269504574926E-5</c:v>
                </c:pt>
                <c:pt idx="76">
                  <c:v>6.1190193011376428E-5</c:v>
                </c:pt>
                <c:pt idx="77">
                  <c:v>4.2478027055074573E-5</c:v>
                </c:pt>
                <c:pt idx="78">
                  <c:v>2.9194692579145586E-5</c:v>
                </c:pt>
                <c:pt idx="79">
                  <c:v>1.9865547139276953E-5</c:v>
                </c:pt>
                <c:pt idx="80">
                  <c:v>1.3383022576488346E-5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2-4198-8FDA-DA622826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636127"/>
        <c:axId val="2079249391"/>
      </c:scatterChart>
      <c:valAx>
        <c:axId val="2077636127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49391"/>
        <c:crosses val="autoZero"/>
        <c:crossBetween val="midCat"/>
        <c:majorUnit val="5.000000000000001E-2"/>
      </c:valAx>
      <c:valAx>
        <c:axId val="2079249391"/>
        <c:scaling>
          <c:orientation val="minMax"/>
          <c:max val="4.0000000000000008E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crossAx val="207763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936170</xdr:colOff>
      <xdr:row>1</xdr:row>
      <xdr:rowOff>95249</xdr:rowOff>
    </xdr:from>
    <xdr:to>
      <xdr:col>12</xdr:col>
      <xdr:colOff>1012373</xdr:colOff>
      <xdr:row>11</xdr:row>
      <xdr:rowOff>255813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EFEA7-1C62-1E6D-B5B5-96B4886F0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27216</xdr:colOff>
      <xdr:row>13</xdr:row>
      <xdr:rowOff>185057</xdr:rowOff>
    </xdr:from>
    <xdr:to>
      <xdr:col>3</xdr:col>
      <xdr:colOff>40140</xdr:colOff>
      <xdr:row>19</xdr:row>
      <xdr:rowOff>10886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714CD9-181D-EBE6-DF31-D8647D7F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730" y="5197928"/>
          <a:ext cx="5668053" cy="224245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114301</xdr:colOff>
      <xdr:row>26</xdr:row>
      <xdr:rowOff>179615</xdr:rowOff>
    </xdr:from>
    <xdr:to>
      <xdr:col>2</xdr:col>
      <xdr:colOff>1377043</xdr:colOff>
      <xdr:row>29</xdr:row>
      <xdr:rowOff>338539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FA1564-A312-4CBF-8B86-A68B4075A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0428515"/>
          <a:ext cx="5502728" cy="13672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</xdr:colOff>
      <xdr:row>19</xdr:row>
      <xdr:rowOff>327791</xdr:rowOff>
    </xdr:from>
    <xdr:to>
      <xdr:col>3</xdr:col>
      <xdr:colOff>10886</xdr:colOff>
      <xdr:row>25</xdr:row>
      <xdr:rowOff>171431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2855A7-2A28-D225-7D0F-E14B5B66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515" y="7757291"/>
          <a:ext cx="5666014" cy="22602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yan O'Connell" id="{BBFA6613-4A90-4859-9F99-C52E479CE29E}" userId="8e3b9aed7cb0d2b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4-11-13T22:26:18.30" personId="{BBFA6613-4A90-4859-9F99-C52E479CE29E}" id="{4389CC01-ABE2-44B5-8BF7-D30455C13E47}">
    <text>Expected Positive Exposure (EPE): The time-averaged value of Expected Exposure (EE), focusing only on the positive values of potential future exposures.</text>
  </threadedComment>
  <threadedComment ref="B9" dT="2024-11-13T22:26:50.31" personId="{BBFA6613-4A90-4859-9F99-C52E479CE29E}" id="{C957ADEF-6F44-44E8-9267-00D879510188}">
    <text>Expected Negative Exposure (ENE): The time-averaged value of the negative potential future exposures, typically less relevant in counterparty credit risk as it represents the counterparty's potential gain.</text>
  </threadedComment>
  <threadedComment ref="B10" dT="2024-11-13T22:27:17.20" personId="{BBFA6613-4A90-4859-9F99-C52E479CE29E}" id="{9B318DE3-527E-43F3-8619-9FEF4F1B4CFD}">
    <text>PFE 99%: The Potential Future Exposure at a 99% confidence level, representing the maximum exposure that will not be exceeded with a 99% probability.</text>
  </threadedComment>
  <threadedComment ref="B11" dT="2024-11-13T22:27:40.04" personId="{BBFA6613-4A90-4859-9F99-C52E479CE29E}" id="{05C69773-D55A-4CB6-9784-B0C356F5CCCB}">
    <text xml:space="preserve">PFE 1%: The Potential Future Exposure at a 1% confidence level, representing the minimum exposure that will not be exceeded with a 1% probability (i.e., the left tail of the distribution).
</text>
  </threadedComment>
  <threadedComment ref="B12" dT="2024-11-13T22:00:54.24" personId="{BBFA6613-4A90-4859-9F99-C52E479CE29E}" id="{BC747E88-F8ED-47E9-9CC2-6489A3B21ED7}">
    <text xml:space="preserve">“EPE is defined as the average EE through time.” This implies that EPE is a time-averaged measure of EE, but at a single point in time, EE and EPE describe the same quantity.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6A3C-A984-41AF-97CE-F3EBD19BAF0F}">
  <dimension ref="B1:F104"/>
  <sheetViews>
    <sheetView showGridLines="0" tabSelected="1" workbookViewId="0">
      <pane ySplit="2" topLeftCell="A3" activePane="bottomLeft" state="frozen"/>
      <selection pane="bottomLeft" activeCell="E16" sqref="E16"/>
    </sheetView>
  </sheetViews>
  <sheetFormatPr defaultRowHeight="31.75" x14ac:dyDescent="0.85"/>
  <cols>
    <col min="1" max="1" width="3.42578125" customWidth="1"/>
    <col min="2" max="2" width="27.8203125" bestFit="1" customWidth="1"/>
    <col min="3" max="3" width="9.28515625" bestFit="1" customWidth="1"/>
    <col min="4" max="4" width="8.640625" customWidth="1"/>
    <col min="5" max="5" width="11.85546875" bestFit="1" customWidth="1"/>
    <col min="6" max="6" width="9.17578125" bestFit="1" customWidth="1"/>
  </cols>
  <sheetData>
    <row r="1" spans="2:6" ht="12" customHeight="1" thickBot="1" x14ac:dyDescent="0.9"/>
    <row r="2" spans="2:6" ht="32.15" thickBot="1" x14ac:dyDescent="0.9">
      <c r="B2" s="8" t="s">
        <v>1</v>
      </c>
      <c r="C2" s="9"/>
      <c r="E2" s="10" t="s">
        <v>7</v>
      </c>
      <c r="F2" s="11" t="s">
        <v>8</v>
      </c>
    </row>
    <row r="3" spans="2:6" x14ac:dyDescent="0.85">
      <c r="B3" s="4" t="s">
        <v>9</v>
      </c>
      <c r="C3" s="15">
        <v>0.05</v>
      </c>
      <c r="E3" s="12">
        <f>C3-(C4*4)</f>
        <v>-0.35000000000000003</v>
      </c>
      <c r="F3" s="13">
        <f>NORMDIST(E3,$C$3,$C$4,FALSE)/100</f>
        <v>1.3383022576488536E-5</v>
      </c>
    </row>
    <row r="4" spans="2:6" x14ac:dyDescent="0.85">
      <c r="B4" s="4" t="s">
        <v>15</v>
      </c>
      <c r="C4" s="15">
        <v>0.1</v>
      </c>
      <c r="E4" s="12">
        <f>E3+($C$4/10)</f>
        <v>-0.34</v>
      </c>
      <c r="F4" s="13">
        <f t="shared" ref="F4:F67" si="0">NORMDIST(E4,$C$3,$C$4,FALSE)/100</f>
        <v>1.9865547139277272E-5</v>
      </c>
    </row>
    <row r="5" spans="2:6" ht="32.15" thickBot="1" x14ac:dyDescent="0.9">
      <c r="B5" s="5" t="s">
        <v>0</v>
      </c>
      <c r="C5" s="16">
        <v>0.99</v>
      </c>
      <c r="E5" s="12">
        <f t="shared" ref="E5:E68" si="1">E4+($C$4/10)</f>
        <v>-0.33</v>
      </c>
      <c r="F5" s="13">
        <f t="shared" si="0"/>
        <v>2.9194692579146026E-5</v>
      </c>
    </row>
    <row r="6" spans="2:6" ht="32.15" thickBot="1" x14ac:dyDescent="0.9">
      <c r="C6" s="2"/>
      <c r="E6" s="12">
        <f t="shared" si="1"/>
        <v>-0.32</v>
      </c>
      <c r="F6" s="13">
        <f t="shared" si="0"/>
        <v>4.2478027055075223E-5</v>
      </c>
    </row>
    <row r="7" spans="2:6" ht="32.15" thickBot="1" x14ac:dyDescent="0.9">
      <c r="B7" s="8" t="s">
        <v>2</v>
      </c>
      <c r="C7" s="9"/>
      <c r="E7" s="12">
        <f t="shared" si="1"/>
        <v>-0.31</v>
      </c>
      <c r="F7" s="13">
        <f t="shared" si="0"/>
        <v>6.1190193011377296E-5</v>
      </c>
    </row>
    <row r="8" spans="2:6" x14ac:dyDescent="0.85">
      <c r="B8" s="4" t="s">
        <v>3</v>
      </c>
      <c r="C8" s="6">
        <f>C3*NORMSDIST(C3/C4)+C4*NORMDIST(C3/C4,0,1,FALSE)</f>
        <v>6.9779655740130619E-2</v>
      </c>
      <c r="D8" s="3">
        <f>SUMPRODUCT(E39:E83,F39:F83)</f>
        <v>6.9738161305126015E-2</v>
      </c>
      <c r="E8" s="12">
        <f t="shared" si="1"/>
        <v>-0.3</v>
      </c>
      <c r="F8" s="13">
        <f t="shared" si="0"/>
        <v>8.7268269504576173E-5</v>
      </c>
    </row>
    <row r="9" spans="2:6" x14ac:dyDescent="0.85">
      <c r="B9" s="4" t="s">
        <v>4</v>
      </c>
      <c r="C9" s="6">
        <f>C3*NORMSDIST(-C3/C4)-C4*NORMDIST(-C3/C4,0,1,FALSE)</f>
        <v>-1.977965574013061E-2</v>
      </c>
      <c r="D9" s="3">
        <f>SUMPRODUCT(E3:E37,F3:F37)</f>
        <v>-1.9740703791796974E-2</v>
      </c>
      <c r="E9" s="12">
        <f t="shared" si="1"/>
        <v>-0.28999999999999998</v>
      </c>
      <c r="F9" s="13">
        <f t="shared" si="0"/>
        <v>1.2322191684730209E-4</v>
      </c>
    </row>
    <row r="10" spans="2:6" x14ac:dyDescent="0.85">
      <c r="B10" s="4" t="s">
        <v>16</v>
      </c>
      <c r="C10" s="6">
        <f>C3+NORMSINV(C5)*C4</f>
        <v>0.2826347874040841</v>
      </c>
      <c r="E10" s="12">
        <f t="shared" si="1"/>
        <v>-0.27999999999999997</v>
      </c>
      <c r="F10" s="13">
        <f t="shared" si="0"/>
        <v>1.7225689390536843E-4</v>
      </c>
    </row>
    <row r="11" spans="2:6" x14ac:dyDescent="0.85">
      <c r="B11" s="4" t="s">
        <v>17</v>
      </c>
      <c r="C11" s="6">
        <f>C3+NORMSINV(1-C5)*C4</f>
        <v>-0.18263478740408406</v>
      </c>
      <c r="D11" s="17"/>
      <c r="E11" s="12">
        <f t="shared" si="1"/>
        <v>-0.26999999999999996</v>
      </c>
      <c r="F11" s="13">
        <f t="shared" si="0"/>
        <v>2.3840882014648484E-4</v>
      </c>
    </row>
    <row r="12" spans="2:6" ht="32.15" thickBot="1" x14ac:dyDescent="0.9">
      <c r="B12" s="5" t="s">
        <v>13</v>
      </c>
      <c r="C12" s="7">
        <f>C8</f>
        <v>6.9779655740130619E-2</v>
      </c>
      <c r="E12" s="12">
        <f t="shared" si="1"/>
        <v>-0.25999999999999995</v>
      </c>
      <c r="F12" s="13">
        <f t="shared" si="0"/>
        <v>3.2668190561999273E-4</v>
      </c>
    </row>
    <row r="13" spans="2:6" x14ac:dyDescent="0.85">
      <c r="B13" s="14" t="s">
        <v>14</v>
      </c>
      <c r="E13" s="12">
        <f t="shared" si="1"/>
        <v>-0.24999999999999994</v>
      </c>
      <c r="F13" s="13">
        <f t="shared" si="0"/>
        <v>4.431848411938019E-4</v>
      </c>
    </row>
    <row r="14" spans="2:6" x14ac:dyDescent="0.85">
      <c r="E14" s="12">
        <f t="shared" si="1"/>
        <v>-0.23999999999999994</v>
      </c>
      <c r="F14" s="13">
        <f t="shared" si="0"/>
        <v>5.9525324197758696E-4</v>
      </c>
    </row>
    <row r="15" spans="2:6" x14ac:dyDescent="0.85">
      <c r="E15" s="12">
        <f t="shared" si="1"/>
        <v>-0.22999999999999993</v>
      </c>
      <c r="F15" s="13">
        <f t="shared" si="0"/>
        <v>7.9154515829799889E-4</v>
      </c>
    </row>
    <row r="16" spans="2:6" x14ac:dyDescent="0.85">
      <c r="E16" s="12">
        <f t="shared" si="1"/>
        <v>-0.21999999999999992</v>
      </c>
      <c r="F16" s="13">
        <f t="shared" si="0"/>
        <v>1.0420934814422628E-3</v>
      </c>
    </row>
    <row r="17" spans="5:6" x14ac:dyDescent="0.85">
      <c r="E17" s="12">
        <f t="shared" si="1"/>
        <v>-0.20999999999999991</v>
      </c>
      <c r="F17" s="13">
        <f t="shared" si="0"/>
        <v>1.358296923368566E-3</v>
      </c>
    </row>
    <row r="18" spans="5:6" x14ac:dyDescent="0.85">
      <c r="E18" s="12">
        <f t="shared" si="1"/>
        <v>-0.1999999999999999</v>
      </c>
      <c r="F18" s="13">
        <f t="shared" si="0"/>
        <v>1.7528300493568599E-3</v>
      </c>
    </row>
    <row r="19" spans="5:6" x14ac:dyDescent="0.85">
      <c r="E19" s="12">
        <f t="shared" si="1"/>
        <v>-0.18999999999999989</v>
      </c>
      <c r="F19" s="13">
        <f t="shared" si="0"/>
        <v>2.2394530294842967E-3</v>
      </c>
    </row>
    <row r="20" spans="5:6" x14ac:dyDescent="0.85">
      <c r="E20" s="12">
        <f t="shared" si="1"/>
        <v>-0.17999999999999988</v>
      </c>
      <c r="F20" s="13">
        <f t="shared" si="0"/>
        <v>2.8327037741601273E-3</v>
      </c>
    </row>
    <row r="21" spans="5:6" x14ac:dyDescent="0.85">
      <c r="E21" s="12">
        <f t="shared" si="1"/>
        <v>-0.16999999999999987</v>
      </c>
      <c r="F21" s="13">
        <f t="shared" si="0"/>
        <v>3.5474592846231568E-3</v>
      </c>
    </row>
    <row r="22" spans="5:6" x14ac:dyDescent="0.85">
      <c r="E22" s="12">
        <f t="shared" si="1"/>
        <v>-0.15999999999999986</v>
      </c>
      <c r="F22" s="13">
        <f t="shared" si="0"/>
        <v>4.3983595980427344E-3</v>
      </c>
    </row>
    <row r="23" spans="5:6" x14ac:dyDescent="0.85">
      <c r="E23" s="12">
        <f t="shared" si="1"/>
        <v>-0.14999999999999986</v>
      </c>
      <c r="F23" s="13">
        <f t="shared" si="0"/>
        <v>5.3990966513188243E-3</v>
      </c>
    </row>
    <row r="24" spans="5:6" x14ac:dyDescent="0.85">
      <c r="E24" s="12">
        <f t="shared" si="1"/>
        <v>-0.13999999999999985</v>
      </c>
      <c r="F24" s="13">
        <f t="shared" si="0"/>
        <v>6.5615814774676803E-3</v>
      </c>
    </row>
    <row r="25" spans="5:6" x14ac:dyDescent="0.85">
      <c r="E25" s="12">
        <f t="shared" si="1"/>
        <v>-0.12999999999999984</v>
      </c>
      <c r="F25" s="13">
        <f t="shared" si="0"/>
        <v>7.8950158300894416E-3</v>
      </c>
    </row>
    <row r="26" spans="5:6" x14ac:dyDescent="0.85">
      <c r="E26" s="12">
        <f t="shared" si="1"/>
        <v>-0.11999999999999984</v>
      </c>
      <c r="F26" s="13">
        <f t="shared" si="0"/>
        <v>9.4049077376887197E-3</v>
      </c>
    </row>
    <row r="27" spans="5:6" x14ac:dyDescent="0.85">
      <c r="E27" s="12">
        <f t="shared" si="1"/>
        <v>-0.10999999999999985</v>
      </c>
      <c r="F27" s="13">
        <f t="shared" si="0"/>
        <v>1.1092083467945581E-2</v>
      </c>
    </row>
    <row r="28" spans="5:6" x14ac:dyDescent="0.85">
      <c r="E28" s="12">
        <f t="shared" si="1"/>
        <v>-9.9999999999999853E-2</v>
      </c>
      <c r="F28" s="13">
        <f t="shared" si="0"/>
        <v>1.2951759566589203E-2</v>
      </c>
    </row>
    <row r="29" spans="5:6" x14ac:dyDescent="0.85">
      <c r="E29" s="12">
        <f t="shared" si="1"/>
        <v>-8.9999999999999858E-2</v>
      </c>
      <c r="F29" s="13">
        <f t="shared" si="0"/>
        <v>1.4972746563574519E-2</v>
      </c>
    </row>
    <row r="30" spans="5:6" x14ac:dyDescent="0.85">
      <c r="E30" s="12">
        <f t="shared" si="1"/>
        <v>-7.9999999999999863E-2</v>
      </c>
      <c r="F30" s="13">
        <f t="shared" si="0"/>
        <v>1.713685920478077E-2</v>
      </c>
    </row>
    <row r="31" spans="5:6" x14ac:dyDescent="0.85">
      <c r="E31" s="12">
        <f t="shared" si="1"/>
        <v>-6.9999999999999868E-2</v>
      </c>
      <c r="F31" s="13">
        <f t="shared" si="0"/>
        <v>1.9418605498321327E-2</v>
      </c>
    </row>
    <row r="32" spans="5:6" x14ac:dyDescent="0.85">
      <c r="E32" s="12">
        <f t="shared" si="1"/>
        <v>-5.9999999999999866E-2</v>
      </c>
      <c r="F32" s="13">
        <f t="shared" si="0"/>
        <v>2.1785217703255085E-2</v>
      </c>
    </row>
    <row r="33" spans="5:6" x14ac:dyDescent="0.85">
      <c r="E33" s="12">
        <f t="shared" si="1"/>
        <v>-4.9999999999999864E-2</v>
      </c>
      <c r="F33" s="13">
        <f t="shared" si="0"/>
        <v>2.4197072451914367E-2</v>
      </c>
    </row>
    <row r="34" spans="5:6" x14ac:dyDescent="0.85">
      <c r="E34" s="12">
        <f t="shared" si="1"/>
        <v>-3.9999999999999862E-2</v>
      </c>
      <c r="F34" s="13">
        <f t="shared" si="0"/>
        <v>2.6608524989875516E-2</v>
      </c>
    </row>
    <row r="35" spans="5:6" x14ac:dyDescent="0.85">
      <c r="E35" s="12">
        <f t="shared" si="1"/>
        <v>-2.999999999999986E-2</v>
      </c>
      <c r="F35" s="13">
        <f t="shared" si="0"/>
        <v>2.8969155276148309E-2</v>
      </c>
    </row>
    <row r="36" spans="5:6" x14ac:dyDescent="0.85">
      <c r="E36" s="12">
        <f t="shared" si="1"/>
        <v>-1.9999999999999858E-2</v>
      </c>
      <c r="F36" s="13">
        <f t="shared" si="0"/>
        <v>3.1225393336676156E-2</v>
      </c>
    </row>
    <row r="37" spans="5:6" x14ac:dyDescent="0.85">
      <c r="E37" s="12">
        <f t="shared" si="1"/>
        <v>-9.999999999999858E-3</v>
      </c>
      <c r="F37" s="13">
        <f t="shared" si="0"/>
        <v>3.3322460289179991E-2</v>
      </c>
    </row>
    <row r="38" spans="5:6" x14ac:dyDescent="0.85">
      <c r="E38" s="12">
        <f t="shared" si="1"/>
        <v>1.4224732503009818E-16</v>
      </c>
      <c r="F38" s="13">
        <f t="shared" si="0"/>
        <v>3.5206532676429973E-2</v>
      </c>
    </row>
    <row r="39" spans="5:6" x14ac:dyDescent="0.85">
      <c r="E39" s="12">
        <f t="shared" si="1"/>
        <v>1.0000000000000142E-2</v>
      </c>
      <c r="F39" s="13">
        <f t="shared" si="0"/>
        <v>3.6827014030332353E-2</v>
      </c>
    </row>
    <row r="40" spans="5:6" x14ac:dyDescent="0.85">
      <c r="E40" s="12">
        <f t="shared" si="1"/>
        <v>2.0000000000000143E-2</v>
      </c>
      <c r="F40" s="13">
        <f t="shared" si="0"/>
        <v>3.8138781546052422E-2</v>
      </c>
    </row>
    <row r="41" spans="5:6" x14ac:dyDescent="0.85">
      <c r="E41" s="12">
        <f t="shared" si="1"/>
        <v>3.0000000000000145E-2</v>
      </c>
      <c r="F41" s="13">
        <f t="shared" si="0"/>
        <v>3.9104269397545598E-2</v>
      </c>
    </row>
    <row r="42" spans="5:6" x14ac:dyDescent="0.85">
      <c r="E42" s="12">
        <f t="shared" si="1"/>
        <v>4.0000000000000147E-2</v>
      </c>
      <c r="F42" s="13">
        <f t="shared" si="0"/>
        <v>3.9695254747701178E-2</v>
      </c>
    </row>
    <row r="43" spans="5:6" x14ac:dyDescent="0.85">
      <c r="E43" s="12">
        <f t="shared" si="1"/>
        <v>5.0000000000000148E-2</v>
      </c>
      <c r="F43" s="13">
        <f t="shared" si="0"/>
        <v>3.9894228040143268E-2</v>
      </c>
    </row>
    <row r="44" spans="5:6" x14ac:dyDescent="0.85">
      <c r="E44" s="12">
        <f t="shared" si="1"/>
        <v>6.000000000000015E-2</v>
      </c>
      <c r="F44" s="13">
        <f t="shared" si="0"/>
        <v>3.9695254747701171E-2</v>
      </c>
    </row>
    <row r="45" spans="5:6" x14ac:dyDescent="0.85">
      <c r="E45" s="12">
        <f t="shared" si="1"/>
        <v>7.0000000000000145E-2</v>
      </c>
      <c r="F45" s="13">
        <f t="shared" si="0"/>
        <v>3.9104269397545577E-2</v>
      </c>
    </row>
    <row r="46" spans="5:6" x14ac:dyDescent="0.85">
      <c r="E46" s="12">
        <f t="shared" si="1"/>
        <v>8.000000000000014E-2</v>
      </c>
      <c r="F46" s="13">
        <f t="shared" si="0"/>
        <v>3.8138781546052394E-2</v>
      </c>
    </row>
    <row r="47" spans="5:6" x14ac:dyDescent="0.85">
      <c r="E47" s="12">
        <f t="shared" si="1"/>
        <v>9.0000000000000135E-2</v>
      </c>
      <c r="F47" s="13">
        <f t="shared" si="0"/>
        <v>3.6827014030332311E-2</v>
      </c>
    </row>
    <row r="48" spans="5:6" x14ac:dyDescent="0.85">
      <c r="E48" s="12">
        <f t="shared" si="1"/>
        <v>0.10000000000000013</v>
      </c>
      <c r="F48" s="13">
        <f t="shared" si="0"/>
        <v>3.5206532676429932E-2</v>
      </c>
    </row>
    <row r="49" spans="5:6" x14ac:dyDescent="0.85">
      <c r="E49" s="12">
        <f t="shared" si="1"/>
        <v>0.11000000000000013</v>
      </c>
      <c r="F49" s="13">
        <f t="shared" si="0"/>
        <v>3.3322460289179942E-2</v>
      </c>
    </row>
    <row r="50" spans="5:6" x14ac:dyDescent="0.85">
      <c r="E50" s="12">
        <f t="shared" si="1"/>
        <v>0.12000000000000012</v>
      </c>
      <c r="F50" s="13">
        <f t="shared" si="0"/>
        <v>3.1225393336676097E-2</v>
      </c>
    </row>
    <row r="51" spans="5:6" x14ac:dyDescent="0.85">
      <c r="E51" s="12">
        <f t="shared" si="1"/>
        <v>0.13000000000000012</v>
      </c>
      <c r="F51" s="13">
        <f t="shared" si="0"/>
        <v>2.896915527614825E-2</v>
      </c>
    </row>
    <row r="52" spans="5:6" x14ac:dyDescent="0.85">
      <c r="E52" s="12">
        <f t="shared" si="1"/>
        <v>0.14000000000000012</v>
      </c>
      <c r="F52" s="13">
        <f t="shared" si="0"/>
        <v>2.6608524989875457E-2</v>
      </c>
    </row>
    <row r="53" spans="5:6" x14ac:dyDescent="0.85">
      <c r="E53" s="12">
        <f t="shared" si="1"/>
        <v>0.15000000000000013</v>
      </c>
      <c r="F53" s="13">
        <f t="shared" si="0"/>
        <v>2.4197072451914301E-2</v>
      </c>
    </row>
    <row r="54" spans="5:6" x14ac:dyDescent="0.85">
      <c r="E54" s="12">
        <f t="shared" si="1"/>
        <v>0.16000000000000014</v>
      </c>
      <c r="F54" s="13">
        <f t="shared" si="0"/>
        <v>2.1785217703255019E-2</v>
      </c>
    </row>
    <row r="55" spans="5:6" x14ac:dyDescent="0.85">
      <c r="E55" s="12">
        <f t="shared" si="1"/>
        <v>0.17000000000000015</v>
      </c>
      <c r="F55" s="13">
        <f t="shared" si="0"/>
        <v>1.9418605498321258E-2</v>
      </c>
    </row>
    <row r="56" spans="5:6" x14ac:dyDescent="0.85">
      <c r="E56" s="12">
        <f t="shared" si="1"/>
        <v>0.18000000000000016</v>
      </c>
      <c r="F56" s="13">
        <f t="shared" si="0"/>
        <v>1.71368592047807E-2</v>
      </c>
    </row>
    <row r="57" spans="5:6" x14ac:dyDescent="0.85">
      <c r="E57" s="12">
        <f t="shared" si="1"/>
        <v>0.19000000000000017</v>
      </c>
      <c r="F57" s="13">
        <f t="shared" si="0"/>
        <v>1.4972746563574451E-2</v>
      </c>
    </row>
    <row r="58" spans="5:6" x14ac:dyDescent="0.85">
      <c r="E58" s="12">
        <f t="shared" si="1"/>
        <v>0.20000000000000018</v>
      </c>
      <c r="F58" s="13">
        <f t="shared" si="0"/>
        <v>1.2951759566589139E-2</v>
      </c>
    </row>
    <row r="59" spans="5:6" x14ac:dyDescent="0.85">
      <c r="E59" s="12">
        <f t="shared" si="1"/>
        <v>0.21000000000000019</v>
      </c>
      <c r="F59" s="13">
        <f t="shared" si="0"/>
        <v>1.1092083467945523E-2</v>
      </c>
    </row>
    <row r="60" spans="5:6" x14ac:dyDescent="0.85">
      <c r="E60" s="12">
        <f t="shared" si="1"/>
        <v>0.2200000000000002</v>
      </c>
      <c r="F60" s="13">
        <f t="shared" si="0"/>
        <v>9.4049077376886607E-3</v>
      </c>
    </row>
    <row r="61" spans="5:6" x14ac:dyDescent="0.85">
      <c r="E61" s="12">
        <f t="shared" si="1"/>
        <v>0.2300000000000002</v>
      </c>
      <c r="F61" s="13">
        <f t="shared" si="0"/>
        <v>7.8950158300893861E-3</v>
      </c>
    </row>
    <row r="62" spans="5:6" x14ac:dyDescent="0.85">
      <c r="E62" s="12">
        <f t="shared" si="1"/>
        <v>0.24000000000000021</v>
      </c>
      <c r="F62" s="13">
        <f t="shared" si="0"/>
        <v>6.5615814774676318E-3</v>
      </c>
    </row>
    <row r="63" spans="5:6" x14ac:dyDescent="0.85">
      <c r="E63" s="12">
        <f t="shared" si="1"/>
        <v>0.25000000000000022</v>
      </c>
      <c r="F63" s="13">
        <f t="shared" si="0"/>
        <v>5.399096651318781E-3</v>
      </c>
    </row>
    <row r="64" spans="5:6" x14ac:dyDescent="0.85">
      <c r="E64" s="12">
        <f t="shared" si="1"/>
        <v>0.26000000000000023</v>
      </c>
      <c r="F64" s="13">
        <f t="shared" si="0"/>
        <v>4.398359598042698E-3</v>
      </c>
    </row>
    <row r="65" spans="5:6" x14ac:dyDescent="0.85">
      <c r="E65" s="12">
        <f t="shared" si="1"/>
        <v>0.27000000000000024</v>
      </c>
      <c r="F65" s="13">
        <f t="shared" si="0"/>
        <v>3.5474592846231252E-3</v>
      </c>
    </row>
    <row r="66" spans="5:6" x14ac:dyDescent="0.85">
      <c r="E66" s="12">
        <f t="shared" si="1"/>
        <v>0.28000000000000025</v>
      </c>
      <c r="F66" s="13">
        <f t="shared" si="0"/>
        <v>2.8327037741601008E-3</v>
      </c>
    </row>
    <row r="67" spans="5:6" x14ac:dyDescent="0.85">
      <c r="E67" s="12">
        <f t="shared" si="1"/>
        <v>0.29000000000000026</v>
      </c>
      <c r="F67" s="13">
        <f t="shared" si="0"/>
        <v>2.2394530294842759E-3</v>
      </c>
    </row>
    <row r="68" spans="5:6" x14ac:dyDescent="0.85">
      <c r="E68" s="12">
        <f t="shared" si="1"/>
        <v>0.30000000000000027</v>
      </c>
      <c r="F68" s="13">
        <f t="shared" ref="F68:F83" si="2">NORMDIST(E68,$C$3,$C$4,FALSE)/100</f>
        <v>1.7528300493568419E-3</v>
      </c>
    </row>
    <row r="69" spans="5:6" x14ac:dyDescent="0.85">
      <c r="E69" s="12">
        <f t="shared" ref="E69:E84" si="3">E68+($C$4/10)</f>
        <v>0.31000000000000028</v>
      </c>
      <c r="F69" s="13">
        <f t="shared" si="2"/>
        <v>1.3582969233685521E-3</v>
      </c>
    </row>
    <row r="70" spans="5:6" x14ac:dyDescent="0.85">
      <c r="E70" s="12">
        <f t="shared" si="3"/>
        <v>0.32000000000000028</v>
      </c>
      <c r="F70" s="13">
        <f t="shared" si="2"/>
        <v>1.0420934814422515E-3</v>
      </c>
    </row>
    <row r="71" spans="5:6" x14ac:dyDescent="0.85">
      <c r="E71" s="12">
        <f t="shared" si="3"/>
        <v>0.33000000000000029</v>
      </c>
      <c r="F71" s="13">
        <f t="shared" si="2"/>
        <v>7.9154515829798979E-4</v>
      </c>
    </row>
    <row r="72" spans="5:6" x14ac:dyDescent="0.85">
      <c r="E72" s="12">
        <f t="shared" si="3"/>
        <v>0.3400000000000003</v>
      </c>
      <c r="F72" s="13">
        <f t="shared" si="2"/>
        <v>5.9525324197758013E-4</v>
      </c>
    </row>
    <row r="73" spans="5:6" x14ac:dyDescent="0.85">
      <c r="E73" s="12">
        <f t="shared" si="3"/>
        <v>0.35000000000000031</v>
      </c>
      <c r="F73" s="13">
        <f t="shared" si="2"/>
        <v>4.4318484119379681E-4</v>
      </c>
    </row>
    <row r="74" spans="5:6" x14ac:dyDescent="0.85">
      <c r="E74" s="12">
        <f t="shared" si="3"/>
        <v>0.36000000000000032</v>
      </c>
      <c r="F74" s="13">
        <f t="shared" si="2"/>
        <v>3.2668190561998894E-4</v>
      </c>
    </row>
    <row r="75" spans="5:6" x14ac:dyDescent="0.85">
      <c r="E75" s="12">
        <f t="shared" si="3"/>
        <v>0.37000000000000033</v>
      </c>
      <c r="F75" s="13">
        <f t="shared" si="2"/>
        <v>2.3840882014648172E-4</v>
      </c>
    </row>
    <row r="76" spans="5:6" x14ac:dyDescent="0.85">
      <c r="E76" s="12">
        <f t="shared" si="3"/>
        <v>0.38000000000000034</v>
      </c>
      <c r="F76" s="13">
        <f t="shared" si="2"/>
        <v>1.7225689390536612E-4</v>
      </c>
    </row>
    <row r="77" spans="5:6" x14ac:dyDescent="0.85">
      <c r="E77" s="12">
        <f t="shared" si="3"/>
        <v>0.39000000000000035</v>
      </c>
      <c r="F77" s="13">
        <f t="shared" si="2"/>
        <v>1.2322191684730044E-4</v>
      </c>
    </row>
    <row r="78" spans="5:6" x14ac:dyDescent="0.85">
      <c r="E78" s="12">
        <f t="shared" si="3"/>
        <v>0.40000000000000036</v>
      </c>
      <c r="F78" s="13">
        <f t="shared" si="2"/>
        <v>8.7268269504574926E-5</v>
      </c>
    </row>
    <row r="79" spans="5:6" x14ac:dyDescent="0.85">
      <c r="E79" s="12">
        <f t="shared" si="3"/>
        <v>0.41000000000000036</v>
      </c>
      <c r="F79" s="13">
        <f t="shared" si="2"/>
        <v>6.1190193011376428E-5</v>
      </c>
    </row>
    <row r="80" spans="5:6" x14ac:dyDescent="0.85">
      <c r="E80" s="12">
        <f t="shared" si="3"/>
        <v>0.42000000000000037</v>
      </c>
      <c r="F80" s="13">
        <f t="shared" si="2"/>
        <v>4.2478027055074573E-5</v>
      </c>
    </row>
    <row r="81" spans="5:6" x14ac:dyDescent="0.85">
      <c r="E81" s="12">
        <f t="shared" si="3"/>
        <v>0.43000000000000038</v>
      </c>
      <c r="F81" s="13">
        <f t="shared" si="2"/>
        <v>2.9194692579145586E-5</v>
      </c>
    </row>
    <row r="82" spans="5:6" x14ac:dyDescent="0.85">
      <c r="E82" s="12">
        <f t="shared" si="3"/>
        <v>0.44000000000000039</v>
      </c>
      <c r="F82" s="13">
        <f t="shared" si="2"/>
        <v>1.9865547139276953E-5</v>
      </c>
    </row>
    <row r="83" spans="5:6" x14ac:dyDescent="0.85">
      <c r="E83" s="12">
        <f t="shared" si="3"/>
        <v>0.4500000000000004</v>
      </c>
      <c r="F83" s="13">
        <f t="shared" si="2"/>
        <v>1.3383022576488346E-5</v>
      </c>
    </row>
    <row r="84" spans="5:6" x14ac:dyDescent="0.85">
      <c r="E84" s="12"/>
      <c r="F84" s="13"/>
    </row>
    <row r="85" spans="5:6" x14ac:dyDescent="0.85">
      <c r="E85" s="12"/>
      <c r="F85" s="13"/>
    </row>
    <row r="86" spans="5:6" x14ac:dyDescent="0.85">
      <c r="E86" s="12"/>
      <c r="F86" s="13"/>
    </row>
    <row r="87" spans="5:6" x14ac:dyDescent="0.85">
      <c r="E87" s="12"/>
      <c r="F87" s="13"/>
    </row>
    <row r="88" spans="5:6" x14ac:dyDescent="0.85">
      <c r="E88" s="12"/>
      <c r="F88" s="13"/>
    </row>
    <row r="89" spans="5:6" x14ac:dyDescent="0.85">
      <c r="E89" s="12"/>
      <c r="F89" s="13"/>
    </row>
    <row r="90" spans="5:6" x14ac:dyDescent="0.85">
      <c r="E90" s="12"/>
      <c r="F90" s="13"/>
    </row>
    <row r="91" spans="5:6" x14ac:dyDescent="0.85">
      <c r="E91" s="12"/>
      <c r="F91" s="13"/>
    </row>
    <row r="92" spans="5:6" x14ac:dyDescent="0.85">
      <c r="E92" s="12"/>
      <c r="F92" s="13"/>
    </row>
    <row r="93" spans="5:6" x14ac:dyDescent="0.85">
      <c r="E93" s="12"/>
      <c r="F93" s="13"/>
    </row>
    <row r="94" spans="5:6" x14ac:dyDescent="0.85">
      <c r="E94" s="12"/>
      <c r="F94" s="13"/>
    </row>
    <row r="95" spans="5:6" x14ac:dyDescent="0.85">
      <c r="E95" s="12"/>
      <c r="F95" s="13"/>
    </row>
    <row r="96" spans="5:6" x14ac:dyDescent="0.85">
      <c r="E96" s="12"/>
      <c r="F96" s="13"/>
    </row>
    <row r="97" spans="5:6" x14ac:dyDescent="0.85">
      <c r="E97" s="12"/>
      <c r="F97" s="13"/>
    </row>
    <row r="98" spans="5:6" x14ac:dyDescent="0.85">
      <c r="E98" s="12"/>
      <c r="F98" s="13"/>
    </row>
    <row r="99" spans="5:6" x14ac:dyDescent="0.85">
      <c r="E99" s="12"/>
      <c r="F99" s="13"/>
    </row>
    <row r="100" spans="5:6" x14ac:dyDescent="0.85">
      <c r="E100" s="12"/>
      <c r="F100" s="13"/>
    </row>
    <row r="101" spans="5:6" x14ac:dyDescent="0.85">
      <c r="E101" s="12"/>
      <c r="F101" s="13"/>
    </row>
    <row r="102" spans="5:6" x14ac:dyDescent="0.85">
      <c r="E102" s="12"/>
      <c r="F102" s="13"/>
    </row>
    <row r="103" spans="5:6" x14ac:dyDescent="0.85">
      <c r="E103" s="12"/>
      <c r="F103" s="13"/>
    </row>
    <row r="104" spans="5:6" x14ac:dyDescent="0.85">
      <c r="E104" s="12"/>
    </row>
  </sheetData>
  <mergeCells count="2">
    <mergeCell ref="B2:C2"/>
    <mergeCell ref="B7:C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4B36-25DE-4127-80EA-7092BD3807DD}">
  <dimension ref="B2:G4"/>
  <sheetViews>
    <sheetView workbookViewId="0">
      <selection activeCell="F3" sqref="F3:F4"/>
    </sheetView>
  </sheetViews>
  <sheetFormatPr defaultRowHeight="31.75" x14ac:dyDescent="0.85"/>
  <sheetData>
    <row r="2" spans="2:7" x14ac:dyDescent="0.85">
      <c r="B2" t="s">
        <v>10</v>
      </c>
      <c r="C2" t="s">
        <v>9</v>
      </c>
      <c r="D2" t="s">
        <v>11</v>
      </c>
      <c r="E2" t="s">
        <v>12</v>
      </c>
      <c r="F2" t="s">
        <v>6</v>
      </c>
      <c r="G2" t="s">
        <v>5</v>
      </c>
    </row>
    <row r="3" spans="2:7" x14ac:dyDescent="0.85">
      <c r="B3" s="1">
        <v>0</v>
      </c>
      <c r="C3" s="1">
        <f>FRM!C3</f>
        <v>0.05</v>
      </c>
      <c r="D3" s="12">
        <f>FRM!$C$8</f>
        <v>6.9779655740130619E-2</v>
      </c>
      <c r="E3" s="12">
        <f>FRM!$C$9</f>
        <v>-1.977965574013061E-2</v>
      </c>
      <c r="F3" s="12">
        <f>FRM!$C$11</f>
        <v>-0.18263478740408406</v>
      </c>
      <c r="G3" s="12">
        <f>FRM!$C$10</f>
        <v>0.2826347874040841</v>
      </c>
    </row>
    <row r="4" spans="2:7" x14ac:dyDescent="0.85">
      <c r="B4" s="1">
        <v>0.04</v>
      </c>
      <c r="C4" s="1">
        <f>FRM!C3</f>
        <v>0.05</v>
      </c>
      <c r="D4" s="12">
        <f>FRM!$C$8</f>
        <v>6.9779655740130619E-2</v>
      </c>
      <c r="E4" s="12">
        <f>FRM!$C$9</f>
        <v>-1.977965574013061E-2</v>
      </c>
      <c r="F4" s="12">
        <f>FRM!$C$11</f>
        <v>-0.18263478740408406</v>
      </c>
      <c r="G4" s="12">
        <f>FRM!$C$10</f>
        <v>0.2826347874040841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FRM</vt:lpstr>
      <vt:lpstr>Chart 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O'Connell</dc:creator>
  <cp:lastModifiedBy>Ryan O'Connell</cp:lastModifiedBy>
  <dcterms:created xsi:type="dcterms:W3CDTF">2024-11-13T20:58:40Z</dcterms:created>
  <dcterms:modified xsi:type="dcterms:W3CDTF">2024-11-13T22:59:39Z</dcterms:modified>
</cp:coreProperties>
</file>