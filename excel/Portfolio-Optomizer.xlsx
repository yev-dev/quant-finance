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\Documents\YouTube Videos\Excel Tutorials\Optomize Portfolio in Excel\"/>
    </mc:Choice>
  </mc:AlternateContent>
  <xr:revisionPtr revIDLastSave="0" documentId="13_ncr:1_{F627EC6D-B423-463C-9005-9E14D0DFA996}" xr6:coauthVersionLast="47" xr6:coauthVersionMax="47" xr10:uidLastSave="{00000000-0000-0000-0000-000000000000}"/>
  <bookViews>
    <workbookView xWindow="-120" yWindow="-120" windowWidth="29040" windowHeight="15840" activeTab="1" xr2:uid="{0A63B306-8BA7-4D35-A582-13015160D60B}"/>
  </bookViews>
  <sheets>
    <sheet name="Raw Data" sheetId="1" r:id="rId1"/>
    <sheet name="Portfolio Optomizer" sheetId="3" r:id="rId2"/>
  </sheets>
  <definedNames>
    <definedName name="solver_adj" localSheetId="1" hidden="1">'Portfolio Optomizer'!$G$5:$G$8</definedName>
    <definedName name="solver_cvg" localSheetId="1" hidden="1">0.0001</definedName>
    <definedName name="solver_drv" localSheetId="1" hidden="1">2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'Portfolio Optomizer'!$C$14</definedName>
    <definedName name="solver_lhs2" localSheetId="1" hidden="1">'Portfolio Optomizer'!$G$5:$G$8</definedName>
    <definedName name="solver_lhs3" localSheetId="1" hidden="1">'Portfolio Optomizer'!$G$5:$G$8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3</definedName>
    <definedName name="solver_nwt" localSheetId="1" hidden="1">1</definedName>
    <definedName name="solver_opt" localSheetId="1" hidden="1">'Portfolio Optomizer'!$C$11</definedName>
    <definedName name="solver_pre" localSheetId="1" hidden="1">0.000001</definedName>
    <definedName name="solver_rbv" localSheetId="1" hidden="1">2</definedName>
    <definedName name="solver_rel1" localSheetId="1" hidden="1">2</definedName>
    <definedName name="solver_rel2" localSheetId="1" hidden="1">1</definedName>
    <definedName name="solver_rel3" localSheetId="1" hidden="1">3</definedName>
    <definedName name="solver_rhs1" localSheetId="1" hidden="1">1</definedName>
    <definedName name="solver_rhs2" localSheetId="1" hidden="1">'Portfolio Optomizer'!$F$5:$F$8</definedName>
    <definedName name="solver_rhs3" localSheetId="1" hidden="1">'Portfolio Optomizer'!$E$5:$E$8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3" l="1"/>
  <c r="L7" i="3"/>
  <c r="K6" i="3"/>
  <c r="J5" i="3"/>
  <c r="J252" i="1"/>
  <c r="I252" i="1"/>
  <c r="H252" i="1"/>
  <c r="G252" i="1"/>
  <c r="J251" i="1"/>
  <c r="I251" i="1"/>
  <c r="H251" i="1"/>
  <c r="G251" i="1"/>
  <c r="J250" i="1"/>
  <c r="I250" i="1"/>
  <c r="H250" i="1"/>
  <c r="G250" i="1"/>
  <c r="J249" i="1"/>
  <c r="I249" i="1"/>
  <c r="H249" i="1"/>
  <c r="G249" i="1"/>
  <c r="J248" i="1"/>
  <c r="I248" i="1"/>
  <c r="H248" i="1"/>
  <c r="G248" i="1"/>
  <c r="J247" i="1"/>
  <c r="I247" i="1"/>
  <c r="H247" i="1"/>
  <c r="G247" i="1"/>
  <c r="J246" i="1"/>
  <c r="I246" i="1"/>
  <c r="H246" i="1"/>
  <c r="G246" i="1"/>
  <c r="J245" i="1"/>
  <c r="I245" i="1"/>
  <c r="H245" i="1"/>
  <c r="G245" i="1"/>
  <c r="J244" i="1"/>
  <c r="I244" i="1"/>
  <c r="H244" i="1"/>
  <c r="G244" i="1"/>
  <c r="J243" i="1"/>
  <c r="I243" i="1"/>
  <c r="H243" i="1"/>
  <c r="G243" i="1"/>
  <c r="J242" i="1"/>
  <c r="I242" i="1"/>
  <c r="H242" i="1"/>
  <c r="G242" i="1"/>
  <c r="J241" i="1"/>
  <c r="I241" i="1"/>
  <c r="H241" i="1"/>
  <c r="G241" i="1"/>
  <c r="J240" i="1"/>
  <c r="I240" i="1"/>
  <c r="H240" i="1"/>
  <c r="G240" i="1"/>
  <c r="J239" i="1"/>
  <c r="I239" i="1"/>
  <c r="H239" i="1"/>
  <c r="G239" i="1"/>
  <c r="J238" i="1"/>
  <c r="I238" i="1"/>
  <c r="H238" i="1"/>
  <c r="G238" i="1"/>
  <c r="J237" i="1"/>
  <c r="I237" i="1"/>
  <c r="H237" i="1"/>
  <c r="G237" i="1"/>
  <c r="J236" i="1"/>
  <c r="I236" i="1"/>
  <c r="H236" i="1"/>
  <c r="G236" i="1"/>
  <c r="J235" i="1"/>
  <c r="I235" i="1"/>
  <c r="H235" i="1"/>
  <c r="G235" i="1"/>
  <c r="J234" i="1"/>
  <c r="I234" i="1"/>
  <c r="H234" i="1"/>
  <c r="G234" i="1"/>
  <c r="J233" i="1"/>
  <c r="I233" i="1"/>
  <c r="H233" i="1"/>
  <c r="G233" i="1"/>
  <c r="J232" i="1"/>
  <c r="I232" i="1"/>
  <c r="H232" i="1"/>
  <c r="G232" i="1"/>
  <c r="J231" i="1"/>
  <c r="I231" i="1"/>
  <c r="H231" i="1"/>
  <c r="G231" i="1"/>
  <c r="J230" i="1"/>
  <c r="I230" i="1"/>
  <c r="H230" i="1"/>
  <c r="G230" i="1"/>
  <c r="J229" i="1"/>
  <c r="I229" i="1"/>
  <c r="H229" i="1"/>
  <c r="G229" i="1"/>
  <c r="J228" i="1"/>
  <c r="I228" i="1"/>
  <c r="H228" i="1"/>
  <c r="G228" i="1"/>
  <c r="J227" i="1"/>
  <c r="I227" i="1"/>
  <c r="H227" i="1"/>
  <c r="G227" i="1"/>
  <c r="J226" i="1"/>
  <c r="I226" i="1"/>
  <c r="H226" i="1"/>
  <c r="G226" i="1"/>
  <c r="J225" i="1"/>
  <c r="I225" i="1"/>
  <c r="H225" i="1"/>
  <c r="G225" i="1"/>
  <c r="J224" i="1"/>
  <c r="I224" i="1"/>
  <c r="H224" i="1"/>
  <c r="G224" i="1"/>
  <c r="J223" i="1"/>
  <c r="I223" i="1"/>
  <c r="H223" i="1"/>
  <c r="G223" i="1"/>
  <c r="J222" i="1"/>
  <c r="I222" i="1"/>
  <c r="H222" i="1"/>
  <c r="G222" i="1"/>
  <c r="J221" i="1"/>
  <c r="I221" i="1"/>
  <c r="H221" i="1"/>
  <c r="G221" i="1"/>
  <c r="J220" i="1"/>
  <c r="I220" i="1"/>
  <c r="H220" i="1"/>
  <c r="G220" i="1"/>
  <c r="J219" i="1"/>
  <c r="I219" i="1"/>
  <c r="H219" i="1"/>
  <c r="G219" i="1"/>
  <c r="J218" i="1"/>
  <c r="I218" i="1"/>
  <c r="H218" i="1"/>
  <c r="G218" i="1"/>
  <c r="J217" i="1"/>
  <c r="I217" i="1"/>
  <c r="H217" i="1"/>
  <c r="G217" i="1"/>
  <c r="J216" i="1"/>
  <c r="I216" i="1"/>
  <c r="H216" i="1"/>
  <c r="G216" i="1"/>
  <c r="J215" i="1"/>
  <c r="I215" i="1"/>
  <c r="H215" i="1"/>
  <c r="G215" i="1"/>
  <c r="J214" i="1"/>
  <c r="I214" i="1"/>
  <c r="H214" i="1"/>
  <c r="G214" i="1"/>
  <c r="J213" i="1"/>
  <c r="I213" i="1"/>
  <c r="H213" i="1"/>
  <c r="G213" i="1"/>
  <c r="J212" i="1"/>
  <c r="I212" i="1"/>
  <c r="H212" i="1"/>
  <c r="G212" i="1"/>
  <c r="J211" i="1"/>
  <c r="I211" i="1"/>
  <c r="H211" i="1"/>
  <c r="G211" i="1"/>
  <c r="J210" i="1"/>
  <c r="I210" i="1"/>
  <c r="H210" i="1"/>
  <c r="G210" i="1"/>
  <c r="J209" i="1"/>
  <c r="I209" i="1"/>
  <c r="H209" i="1"/>
  <c r="G209" i="1"/>
  <c r="J208" i="1"/>
  <c r="I208" i="1"/>
  <c r="H208" i="1"/>
  <c r="G208" i="1"/>
  <c r="J207" i="1"/>
  <c r="I207" i="1"/>
  <c r="H207" i="1"/>
  <c r="G207" i="1"/>
  <c r="J206" i="1"/>
  <c r="I206" i="1"/>
  <c r="H206" i="1"/>
  <c r="G206" i="1"/>
  <c r="J205" i="1"/>
  <c r="I205" i="1"/>
  <c r="H205" i="1"/>
  <c r="G205" i="1"/>
  <c r="J204" i="1"/>
  <c r="I204" i="1"/>
  <c r="H204" i="1"/>
  <c r="G204" i="1"/>
  <c r="J203" i="1"/>
  <c r="I203" i="1"/>
  <c r="H203" i="1"/>
  <c r="G203" i="1"/>
  <c r="J202" i="1"/>
  <c r="I202" i="1"/>
  <c r="H202" i="1"/>
  <c r="G202" i="1"/>
  <c r="J201" i="1"/>
  <c r="I201" i="1"/>
  <c r="H201" i="1"/>
  <c r="G201" i="1"/>
  <c r="J200" i="1"/>
  <c r="I200" i="1"/>
  <c r="H200" i="1"/>
  <c r="G200" i="1"/>
  <c r="J199" i="1"/>
  <c r="I199" i="1"/>
  <c r="H199" i="1"/>
  <c r="G199" i="1"/>
  <c r="J198" i="1"/>
  <c r="I198" i="1"/>
  <c r="H198" i="1"/>
  <c r="G198" i="1"/>
  <c r="J197" i="1"/>
  <c r="I197" i="1"/>
  <c r="H197" i="1"/>
  <c r="G197" i="1"/>
  <c r="J196" i="1"/>
  <c r="I196" i="1"/>
  <c r="H196" i="1"/>
  <c r="G196" i="1"/>
  <c r="J195" i="1"/>
  <c r="I195" i="1"/>
  <c r="H195" i="1"/>
  <c r="G195" i="1"/>
  <c r="J194" i="1"/>
  <c r="I194" i="1"/>
  <c r="H194" i="1"/>
  <c r="G194" i="1"/>
  <c r="J193" i="1"/>
  <c r="I193" i="1"/>
  <c r="H193" i="1"/>
  <c r="G193" i="1"/>
  <c r="J192" i="1"/>
  <c r="I192" i="1"/>
  <c r="H192" i="1"/>
  <c r="G192" i="1"/>
  <c r="J191" i="1"/>
  <c r="I191" i="1"/>
  <c r="H191" i="1"/>
  <c r="G191" i="1"/>
  <c r="J190" i="1"/>
  <c r="I190" i="1"/>
  <c r="H190" i="1"/>
  <c r="G190" i="1"/>
  <c r="J189" i="1"/>
  <c r="I189" i="1"/>
  <c r="H189" i="1"/>
  <c r="G189" i="1"/>
  <c r="J188" i="1"/>
  <c r="I188" i="1"/>
  <c r="H188" i="1"/>
  <c r="G188" i="1"/>
  <c r="J187" i="1"/>
  <c r="I187" i="1"/>
  <c r="H187" i="1"/>
  <c r="G187" i="1"/>
  <c r="J186" i="1"/>
  <c r="I186" i="1"/>
  <c r="H186" i="1"/>
  <c r="G186" i="1"/>
  <c r="J185" i="1"/>
  <c r="I185" i="1"/>
  <c r="H185" i="1"/>
  <c r="G185" i="1"/>
  <c r="J184" i="1"/>
  <c r="I184" i="1"/>
  <c r="H184" i="1"/>
  <c r="G184" i="1"/>
  <c r="J183" i="1"/>
  <c r="I183" i="1"/>
  <c r="H183" i="1"/>
  <c r="G183" i="1"/>
  <c r="J182" i="1"/>
  <c r="I182" i="1"/>
  <c r="H182" i="1"/>
  <c r="G182" i="1"/>
  <c r="J181" i="1"/>
  <c r="I181" i="1"/>
  <c r="H181" i="1"/>
  <c r="G181" i="1"/>
  <c r="J180" i="1"/>
  <c r="I180" i="1"/>
  <c r="H180" i="1"/>
  <c r="G180" i="1"/>
  <c r="J179" i="1"/>
  <c r="I179" i="1"/>
  <c r="H179" i="1"/>
  <c r="G179" i="1"/>
  <c r="J178" i="1"/>
  <c r="I178" i="1"/>
  <c r="H178" i="1"/>
  <c r="G178" i="1"/>
  <c r="J177" i="1"/>
  <c r="I177" i="1"/>
  <c r="H177" i="1"/>
  <c r="G177" i="1"/>
  <c r="J176" i="1"/>
  <c r="I176" i="1"/>
  <c r="H176" i="1"/>
  <c r="G176" i="1"/>
  <c r="J175" i="1"/>
  <c r="I175" i="1"/>
  <c r="H175" i="1"/>
  <c r="G175" i="1"/>
  <c r="J174" i="1"/>
  <c r="I174" i="1"/>
  <c r="H174" i="1"/>
  <c r="G174" i="1"/>
  <c r="J173" i="1"/>
  <c r="I173" i="1"/>
  <c r="H173" i="1"/>
  <c r="G173" i="1"/>
  <c r="J172" i="1"/>
  <c r="I172" i="1"/>
  <c r="H172" i="1"/>
  <c r="G172" i="1"/>
  <c r="J171" i="1"/>
  <c r="I171" i="1"/>
  <c r="H171" i="1"/>
  <c r="G171" i="1"/>
  <c r="J170" i="1"/>
  <c r="I170" i="1"/>
  <c r="H170" i="1"/>
  <c r="G170" i="1"/>
  <c r="J169" i="1"/>
  <c r="I169" i="1"/>
  <c r="H169" i="1"/>
  <c r="G169" i="1"/>
  <c r="J168" i="1"/>
  <c r="I168" i="1"/>
  <c r="H168" i="1"/>
  <c r="G168" i="1"/>
  <c r="J167" i="1"/>
  <c r="I167" i="1"/>
  <c r="H167" i="1"/>
  <c r="G167" i="1"/>
  <c r="J166" i="1"/>
  <c r="I166" i="1"/>
  <c r="H166" i="1"/>
  <c r="G166" i="1"/>
  <c r="J165" i="1"/>
  <c r="I165" i="1"/>
  <c r="H165" i="1"/>
  <c r="G165" i="1"/>
  <c r="J164" i="1"/>
  <c r="I164" i="1"/>
  <c r="H164" i="1"/>
  <c r="G164" i="1"/>
  <c r="J163" i="1"/>
  <c r="I163" i="1"/>
  <c r="H163" i="1"/>
  <c r="G163" i="1"/>
  <c r="J162" i="1"/>
  <c r="I162" i="1"/>
  <c r="H162" i="1"/>
  <c r="G162" i="1"/>
  <c r="J161" i="1"/>
  <c r="I161" i="1"/>
  <c r="H161" i="1"/>
  <c r="G161" i="1"/>
  <c r="J160" i="1"/>
  <c r="I160" i="1"/>
  <c r="H160" i="1"/>
  <c r="G160" i="1"/>
  <c r="J159" i="1"/>
  <c r="I159" i="1"/>
  <c r="H159" i="1"/>
  <c r="G159" i="1"/>
  <c r="J158" i="1"/>
  <c r="I158" i="1"/>
  <c r="H158" i="1"/>
  <c r="G158" i="1"/>
  <c r="J157" i="1"/>
  <c r="I157" i="1"/>
  <c r="H157" i="1"/>
  <c r="G157" i="1"/>
  <c r="J156" i="1"/>
  <c r="I156" i="1"/>
  <c r="H156" i="1"/>
  <c r="G156" i="1"/>
  <c r="J155" i="1"/>
  <c r="I155" i="1"/>
  <c r="H155" i="1"/>
  <c r="G155" i="1"/>
  <c r="J154" i="1"/>
  <c r="I154" i="1"/>
  <c r="H154" i="1"/>
  <c r="G154" i="1"/>
  <c r="J153" i="1"/>
  <c r="I153" i="1"/>
  <c r="H153" i="1"/>
  <c r="G153" i="1"/>
  <c r="J152" i="1"/>
  <c r="I152" i="1"/>
  <c r="H152" i="1"/>
  <c r="G152" i="1"/>
  <c r="J151" i="1"/>
  <c r="I151" i="1"/>
  <c r="H151" i="1"/>
  <c r="G151" i="1"/>
  <c r="J150" i="1"/>
  <c r="I150" i="1"/>
  <c r="H150" i="1"/>
  <c r="G150" i="1"/>
  <c r="J149" i="1"/>
  <c r="I149" i="1"/>
  <c r="H149" i="1"/>
  <c r="G149" i="1"/>
  <c r="J148" i="1"/>
  <c r="I148" i="1"/>
  <c r="H148" i="1"/>
  <c r="G148" i="1"/>
  <c r="J147" i="1"/>
  <c r="I147" i="1"/>
  <c r="H147" i="1"/>
  <c r="G147" i="1"/>
  <c r="J146" i="1"/>
  <c r="I146" i="1"/>
  <c r="H146" i="1"/>
  <c r="G146" i="1"/>
  <c r="J145" i="1"/>
  <c r="I145" i="1"/>
  <c r="H145" i="1"/>
  <c r="G145" i="1"/>
  <c r="J144" i="1"/>
  <c r="I144" i="1"/>
  <c r="H144" i="1"/>
  <c r="G144" i="1"/>
  <c r="J143" i="1"/>
  <c r="I143" i="1"/>
  <c r="H143" i="1"/>
  <c r="G143" i="1"/>
  <c r="J142" i="1"/>
  <c r="I142" i="1"/>
  <c r="H142" i="1"/>
  <c r="G142" i="1"/>
  <c r="J141" i="1"/>
  <c r="I141" i="1"/>
  <c r="H141" i="1"/>
  <c r="G141" i="1"/>
  <c r="J140" i="1"/>
  <c r="I140" i="1"/>
  <c r="H140" i="1"/>
  <c r="G140" i="1"/>
  <c r="J139" i="1"/>
  <c r="I139" i="1"/>
  <c r="H139" i="1"/>
  <c r="G139" i="1"/>
  <c r="J138" i="1"/>
  <c r="I138" i="1"/>
  <c r="H138" i="1"/>
  <c r="G138" i="1"/>
  <c r="J137" i="1"/>
  <c r="I137" i="1"/>
  <c r="H137" i="1"/>
  <c r="G137" i="1"/>
  <c r="J136" i="1"/>
  <c r="I136" i="1"/>
  <c r="H136" i="1"/>
  <c r="G136" i="1"/>
  <c r="J135" i="1"/>
  <c r="I135" i="1"/>
  <c r="H135" i="1"/>
  <c r="G135" i="1"/>
  <c r="J134" i="1"/>
  <c r="I134" i="1"/>
  <c r="H134" i="1"/>
  <c r="G134" i="1"/>
  <c r="J133" i="1"/>
  <c r="I133" i="1"/>
  <c r="H133" i="1"/>
  <c r="G133" i="1"/>
  <c r="J132" i="1"/>
  <c r="I132" i="1"/>
  <c r="H132" i="1"/>
  <c r="G132" i="1"/>
  <c r="J131" i="1"/>
  <c r="I131" i="1"/>
  <c r="H131" i="1"/>
  <c r="G131" i="1"/>
  <c r="J130" i="1"/>
  <c r="I130" i="1"/>
  <c r="H130" i="1"/>
  <c r="G130" i="1"/>
  <c r="J129" i="1"/>
  <c r="I129" i="1"/>
  <c r="H129" i="1"/>
  <c r="G129" i="1"/>
  <c r="J128" i="1"/>
  <c r="I128" i="1"/>
  <c r="H128" i="1"/>
  <c r="G128" i="1"/>
  <c r="J127" i="1"/>
  <c r="I127" i="1"/>
  <c r="H127" i="1"/>
  <c r="G127" i="1"/>
  <c r="J126" i="1"/>
  <c r="I126" i="1"/>
  <c r="H126" i="1"/>
  <c r="G126" i="1"/>
  <c r="J125" i="1"/>
  <c r="I125" i="1"/>
  <c r="H125" i="1"/>
  <c r="G125" i="1"/>
  <c r="J124" i="1"/>
  <c r="I124" i="1"/>
  <c r="H124" i="1"/>
  <c r="G124" i="1"/>
  <c r="J123" i="1"/>
  <c r="I123" i="1"/>
  <c r="H123" i="1"/>
  <c r="G123" i="1"/>
  <c r="J122" i="1"/>
  <c r="I122" i="1"/>
  <c r="H122" i="1"/>
  <c r="G122" i="1"/>
  <c r="J121" i="1"/>
  <c r="I121" i="1"/>
  <c r="H121" i="1"/>
  <c r="G121" i="1"/>
  <c r="J120" i="1"/>
  <c r="I120" i="1"/>
  <c r="H120" i="1"/>
  <c r="G120" i="1"/>
  <c r="J119" i="1"/>
  <c r="I119" i="1"/>
  <c r="H119" i="1"/>
  <c r="G119" i="1"/>
  <c r="J118" i="1"/>
  <c r="I118" i="1"/>
  <c r="H118" i="1"/>
  <c r="G118" i="1"/>
  <c r="J117" i="1"/>
  <c r="I117" i="1"/>
  <c r="H117" i="1"/>
  <c r="G117" i="1"/>
  <c r="J116" i="1"/>
  <c r="I116" i="1"/>
  <c r="H116" i="1"/>
  <c r="G116" i="1"/>
  <c r="J115" i="1"/>
  <c r="I115" i="1"/>
  <c r="H115" i="1"/>
  <c r="G115" i="1"/>
  <c r="J114" i="1"/>
  <c r="I114" i="1"/>
  <c r="H114" i="1"/>
  <c r="G114" i="1"/>
  <c r="J113" i="1"/>
  <c r="I113" i="1"/>
  <c r="H113" i="1"/>
  <c r="G113" i="1"/>
  <c r="J112" i="1"/>
  <c r="I112" i="1"/>
  <c r="H112" i="1"/>
  <c r="G112" i="1"/>
  <c r="J111" i="1"/>
  <c r="I111" i="1"/>
  <c r="H111" i="1"/>
  <c r="G111" i="1"/>
  <c r="J110" i="1"/>
  <c r="I110" i="1"/>
  <c r="H110" i="1"/>
  <c r="G110" i="1"/>
  <c r="J109" i="1"/>
  <c r="I109" i="1"/>
  <c r="H109" i="1"/>
  <c r="G109" i="1"/>
  <c r="J108" i="1"/>
  <c r="I108" i="1"/>
  <c r="H108" i="1"/>
  <c r="G108" i="1"/>
  <c r="J107" i="1"/>
  <c r="I107" i="1"/>
  <c r="H107" i="1"/>
  <c r="G107" i="1"/>
  <c r="J106" i="1"/>
  <c r="I106" i="1"/>
  <c r="H106" i="1"/>
  <c r="G106" i="1"/>
  <c r="J105" i="1"/>
  <c r="I105" i="1"/>
  <c r="H105" i="1"/>
  <c r="G105" i="1"/>
  <c r="J104" i="1"/>
  <c r="I104" i="1"/>
  <c r="H104" i="1"/>
  <c r="G104" i="1"/>
  <c r="J103" i="1"/>
  <c r="I103" i="1"/>
  <c r="H103" i="1"/>
  <c r="G103" i="1"/>
  <c r="J102" i="1"/>
  <c r="I102" i="1"/>
  <c r="H102" i="1"/>
  <c r="G102" i="1"/>
  <c r="J101" i="1"/>
  <c r="I101" i="1"/>
  <c r="H101" i="1"/>
  <c r="G101" i="1"/>
  <c r="J100" i="1"/>
  <c r="I100" i="1"/>
  <c r="H100" i="1"/>
  <c r="G100" i="1"/>
  <c r="J99" i="1"/>
  <c r="I99" i="1"/>
  <c r="H99" i="1"/>
  <c r="G99" i="1"/>
  <c r="J98" i="1"/>
  <c r="I98" i="1"/>
  <c r="H98" i="1"/>
  <c r="G98" i="1"/>
  <c r="J97" i="1"/>
  <c r="I97" i="1"/>
  <c r="H97" i="1"/>
  <c r="G97" i="1"/>
  <c r="J96" i="1"/>
  <c r="I96" i="1"/>
  <c r="H96" i="1"/>
  <c r="G96" i="1"/>
  <c r="J95" i="1"/>
  <c r="I95" i="1"/>
  <c r="H95" i="1"/>
  <c r="G95" i="1"/>
  <c r="J94" i="1"/>
  <c r="I94" i="1"/>
  <c r="H94" i="1"/>
  <c r="G94" i="1"/>
  <c r="J93" i="1"/>
  <c r="I93" i="1"/>
  <c r="H93" i="1"/>
  <c r="G93" i="1"/>
  <c r="J92" i="1"/>
  <c r="I92" i="1"/>
  <c r="H92" i="1"/>
  <c r="G92" i="1"/>
  <c r="J91" i="1"/>
  <c r="I91" i="1"/>
  <c r="H91" i="1"/>
  <c r="G91" i="1"/>
  <c r="J90" i="1"/>
  <c r="I90" i="1"/>
  <c r="H90" i="1"/>
  <c r="G90" i="1"/>
  <c r="J89" i="1"/>
  <c r="I89" i="1"/>
  <c r="H89" i="1"/>
  <c r="G89" i="1"/>
  <c r="J88" i="1"/>
  <c r="I88" i="1"/>
  <c r="H88" i="1"/>
  <c r="G88" i="1"/>
  <c r="J87" i="1"/>
  <c r="I87" i="1"/>
  <c r="H87" i="1"/>
  <c r="G87" i="1"/>
  <c r="J86" i="1"/>
  <c r="I86" i="1"/>
  <c r="H86" i="1"/>
  <c r="G86" i="1"/>
  <c r="J85" i="1"/>
  <c r="I85" i="1"/>
  <c r="H85" i="1"/>
  <c r="G85" i="1"/>
  <c r="J84" i="1"/>
  <c r="I84" i="1"/>
  <c r="H84" i="1"/>
  <c r="G84" i="1"/>
  <c r="J83" i="1"/>
  <c r="I83" i="1"/>
  <c r="H83" i="1"/>
  <c r="G83" i="1"/>
  <c r="J82" i="1"/>
  <c r="I82" i="1"/>
  <c r="H82" i="1"/>
  <c r="G82" i="1"/>
  <c r="J81" i="1"/>
  <c r="I81" i="1"/>
  <c r="H81" i="1"/>
  <c r="G81" i="1"/>
  <c r="J80" i="1"/>
  <c r="I80" i="1"/>
  <c r="H80" i="1"/>
  <c r="G80" i="1"/>
  <c r="J79" i="1"/>
  <c r="I79" i="1"/>
  <c r="H79" i="1"/>
  <c r="G79" i="1"/>
  <c r="J78" i="1"/>
  <c r="I78" i="1"/>
  <c r="H78" i="1"/>
  <c r="G78" i="1"/>
  <c r="J77" i="1"/>
  <c r="I77" i="1"/>
  <c r="H77" i="1"/>
  <c r="G77" i="1"/>
  <c r="J76" i="1"/>
  <c r="I76" i="1"/>
  <c r="H76" i="1"/>
  <c r="G76" i="1"/>
  <c r="J75" i="1"/>
  <c r="I75" i="1"/>
  <c r="H75" i="1"/>
  <c r="G75" i="1"/>
  <c r="J74" i="1"/>
  <c r="I74" i="1"/>
  <c r="H74" i="1"/>
  <c r="G74" i="1"/>
  <c r="J73" i="1"/>
  <c r="I73" i="1"/>
  <c r="H73" i="1"/>
  <c r="G73" i="1"/>
  <c r="J72" i="1"/>
  <c r="I72" i="1"/>
  <c r="H72" i="1"/>
  <c r="G72" i="1"/>
  <c r="J71" i="1"/>
  <c r="I71" i="1"/>
  <c r="H71" i="1"/>
  <c r="G71" i="1"/>
  <c r="J70" i="1"/>
  <c r="I70" i="1"/>
  <c r="H70" i="1"/>
  <c r="G70" i="1"/>
  <c r="J69" i="1"/>
  <c r="I69" i="1"/>
  <c r="H69" i="1"/>
  <c r="G69" i="1"/>
  <c r="J68" i="1"/>
  <c r="I68" i="1"/>
  <c r="H68" i="1"/>
  <c r="G68" i="1"/>
  <c r="J67" i="1"/>
  <c r="I67" i="1"/>
  <c r="H67" i="1"/>
  <c r="G67" i="1"/>
  <c r="J66" i="1"/>
  <c r="I66" i="1"/>
  <c r="H66" i="1"/>
  <c r="G66" i="1"/>
  <c r="J65" i="1"/>
  <c r="I65" i="1"/>
  <c r="H65" i="1"/>
  <c r="G65" i="1"/>
  <c r="J64" i="1"/>
  <c r="I64" i="1"/>
  <c r="H64" i="1"/>
  <c r="G64" i="1"/>
  <c r="J63" i="1"/>
  <c r="I63" i="1"/>
  <c r="H63" i="1"/>
  <c r="G63" i="1"/>
  <c r="J62" i="1"/>
  <c r="I62" i="1"/>
  <c r="H62" i="1"/>
  <c r="G62" i="1"/>
  <c r="J61" i="1"/>
  <c r="I61" i="1"/>
  <c r="H61" i="1"/>
  <c r="G61" i="1"/>
  <c r="J60" i="1"/>
  <c r="I60" i="1"/>
  <c r="H60" i="1"/>
  <c r="G60" i="1"/>
  <c r="J59" i="1"/>
  <c r="I59" i="1"/>
  <c r="H59" i="1"/>
  <c r="G59" i="1"/>
  <c r="J58" i="1"/>
  <c r="I58" i="1"/>
  <c r="H58" i="1"/>
  <c r="G58" i="1"/>
  <c r="J57" i="1"/>
  <c r="I57" i="1"/>
  <c r="H57" i="1"/>
  <c r="G57" i="1"/>
  <c r="J56" i="1"/>
  <c r="I56" i="1"/>
  <c r="H56" i="1"/>
  <c r="G56" i="1"/>
  <c r="J55" i="1"/>
  <c r="I55" i="1"/>
  <c r="H55" i="1"/>
  <c r="G55" i="1"/>
  <c r="J54" i="1"/>
  <c r="I54" i="1"/>
  <c r="H54" i="1"/>
  <c r="G54" i="1"/>
  <c r="J53" i="1"/>
  <c r="I53" i="1"/>
  <c r="H53" i="1"/>
  <c r="G53" i="1"/>
  <c r="J52" i="1"/>
  <c r="I52" i="1"/>
  <c r="H52" i="1"/>
  <c r="G52" i="1"/>
  <c r="J51" i="1"/>
  <c r="I51" i="1"/>
  <c r="H51" i="1"/>
  <c r="G51" i="1"/>
  <c r="J50" i="1"/>
  <c r="I50" i="1"/>
  <c r="H50" i="1"/>
  <c r="G50" i="1"/>
  <c r="J49" i="1"/>
  <c r="I49" i="1"/>
  <c r="H49" i="1"/>
  <c r="G49" i="1"/>
  <c r="J48" i="1"/>
  <c r="I48" i="1"/>
  <c r="H48" i="1"/>
  <c r="G48" i="1"/>
  <c r="J47" i="1"/>
  <c r="I47" i="1"/>
  <c r="H47" i="1"/>
  <c r="G47" i="1"/>
  <c r="J46" i="1"/>
  <c r="I46" i="1"/>
  <c r="H46" i="1"/>
  <c r="G46" i="1"/>
  <c r="J45" i="1"/>
  <c r="I45" i="1"/>
  <c r="H45" i="1"/>
  <c r="G45" i="1"/>
  <c r="J44" i="1"/>
  <c r="I44" i="1"/>
  <c r="H44" i="1"/>
  <c r="G44" i="1"/>
  <c r="J43" i="1"/>
  <c r="I43" i="1"/>
  <c r="H43" i="1"/>
  <c r="G43" i="1"/>
  <c r="J42" i="1"/>
  <c r="I42" i="1"/>
  <c r="H42" i="1"/>
  <c r="G42" i="1"/>
  <c r="J41" i="1"/>
  <c r="I41" i="1"/>
  <c r="H41" i="1"/>
  <c r="G41" i="1"/>
  <c r="J40" i="1"/>
  <c r="I40" i="1"/>
  <c r="H40" i="1"/>
  <c r="G40" i="1"/>
  <c r="J39" i="1"/>
  <c r="I39" i="1"/>
  <c r="H39" i="1"/>
  <c r="G39" i="1"/>
  <c r="J38" i="1"/>
  <c r="I38" i="1"/>
  <c r="H38" i="1"/>
  <c r="G38" i="1"/>
  <c r="J37" i="1"/>
  <c r="I37" i="1"/>
  <c r="H37" i="1"/>
  <c r="G37" i="1"/>
  <c r="J36" i="1"/>
  <c r="I36" i="1"/>
  <c r="H36" i="1"/>
  <c r="G36" i="1"/>
  <c r="J35" i="1"/>
  <c r="I35" i="1"/>
  <c r="H35" i="1"/>
  <c r="G35" i="1"/>
  <c r="J34" i="1"/>
  <c r="I34" i="1"/>
  <c r="H34" i="1"/>
  <c r="G34" i="1"/>
  <c r="J33" i="1"/>
  <c r="I33" i="1"/>
  <c r="H33" i="1"/>
  <c r="G33" i="1"/>
  <c r="J32" i="1"/>
  <c r="I32" i="1"/>
  <c r="H32" i="1"/>
  <c r="G32" i="1"/>
  <c r="J31" i="1"/>
  <c r="I31" i="1"/>
  <c r="H31" i="1"/>
  <c r="G31" i="1"/>
  <c r="J30" i="1"/>
  <c r="I30" i="1"/>
  <c r="H30" i="1"/>
  <c r="G30" i="1"/>
  <c r="J29" i="1"/>
  <c r="I29" i="1"/>
  <c r="H29" i="1"/>
  <c r="G29" i="1"/>
  <c r="J28" i="1"/>
  <c r="I28" i="1"/>
  <c r="H28" i="1"/>
  <c r="G28" i="1"/>
  <c r="J27" i="1"/>
  <c r="I27" i="1"/>
  <c r="H27" i="1"/>
  <c r="G27" i="1"/>
  <c r="J26" i="1"/>
  <c r="I26" i="1"/>
  <c r="H26" i="1"/>
  <c r="G26" i="1"/>
  <c r="J25" i="1"/>
  <c r="I25" i="1"/>
  <c r="H25" i="1"/>
  <c r="G25" i="1"/>
  <c r="J24" i="1"/>
  <c r="I24" i="1"/>
  <c r="H24" i="1"/>
  <c r="G24" i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J5" i="1"/>
  <c r="I5" i="1"/>
  <c r="H5" i="1"/>
  <c r="G5" i="1"/>
  <c r="J4" i="1"/>
  <c r="I4" i="1"/>
  <c r="H4" i="1"/>
  <c r="G4" i="1"/>
  <c r="J3" i="1"/>
  <c r="I3" i="1"/>
  <c r="H3" i="1"/>
  <c r="G3" i="1"/>
  <c r="J2" i="1"/>
  <c r="I2" i="1"/>
  <c r="H2" i="1"/>
  <c r="G2" i="1"/>
  <c r="C14" i="3"/>
  <c r="C12" i="3"/>
  <c r="C13" i="3" a="1"/>
  <c r="C13" i="3"/>
  <c r="C11" i="3"/>
</calcChain>
</file>

<file path=xl/sharedStrings.xml><?xml version="1.0" encoding="utf-8"?>
<sst xmlns="http://schemas.openxmlformats.org/spreadsheetml/2006/main" count="35" uniqueCount="19">
  <si>
    <t>Date</t>
  </si>
  <si>
    <t>S&amp;P 500</t>
  </si>
  <si>
    <t>Gold</t>
  </si>
  <si>
    <t>MSFT</t>
  </si>
  <si>
    <t>Bond Index (VCIT)</t>
  </si>
  <si>
    <t>Expected Return</t>
  </si>
  <si>
    <t>St Dev (Risk)</t>
  </si>
  <si>
    <t>Min Weight</t>
  </si>
  <si>
    <t>Assets</t>
  </si>
  <si>
    <t>Standard Deviation</t>
  </si>
  <si>
    <t>Summary Information</t>
  </si>
  <si>
    <t>Covariance Matrix</t>
  </si>
  <si>
    <t>Sharpe Ratio</t>
  </si>
  <si>
    <t>Portfolio Statistics</t>
  </si>
  <si>
    <t>Total Weight</t>
  </si>
  <si>
    <t>Weight</t>
  </si>
  <si>
    <t>Risk Free Rate</t>
  </si>
  <si>
    <t>Max Weight</t>
  </si>
  <si>
    <t>SPY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</si>
</sst>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4" fontId="0" fillId="0" borderId="0" xfId="0" applyNumberFormat="1"/>
    <xf numFmtId="14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0" xfId="0" applyFont="1"/>
    <xf numFmtId="0" fontId="0" fillId="0" borderId="5" xfId="0" applyBorder="1"/>
    <xf numFmtId="0" fontId="0" fillId="0" borderId="0" xfId="0" applyBorder="1"/>
    <xf numFmtId="0" fontId="0" fillId="0" borderId="6" xfId="0" applyBorder="1"/>
    <xf numFmtId="164" fontId="0" fillId="0" borderId="0" xfId="0" applyNumberFormat="1" applyBorder="1"/>
    <xf numFmtId="9" fontId="0" fillId="0" borderId="0" xfId="0" applyNumberFormat="1" applyBorder="1"/>
    <xf numFmtId="164" fontId="0" fillId="0" borderId="2" xfId="0" applyNumberFormat="1" applyBorder="1"/>
    <xf numFmtId="9" fontId="0" fillId="0" borderId="2" xfId="0" applyNumberFormat="1" applyBorder="1"/>
    <xf numFmtId="10" fontId="0" fillId="0" borderId="0" xfId="1" applyNumberFormat="1" applyFont="1"/>
    <xf numFmtId="0" fontId="2" fillId="3" borderId="5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0" fillId="4" borderId="5" xfId="0" applyFill="1" applyBorder="1"/>
    <xf numFmtId="0" fontId="0" fillId="4" borderId="7" xfId="0" applyFill="1" applyBorder="1"/>
    <xf numFmtId="0" fontId="2" fillId="3" borderId="3" xfId="0" applyFont="1" applyFill="1" applyBorder="1" applyAlignment="1">
      <alignment horizontal="center" vertical="center" wrapText="1"/>
    </xf>
    <xf numFmtId="0" fontId="0" fillId="0" borderId="6" xfId="0" applyFill="1" applyBorder="1"/>
    <xf numFmtId="9" fontId="0" fillId="5" borderId="6" xfId="0" applyNumberFormat="1" applyFill="1" applyBorder="1"/>
    <xf numFmtId="9" fontId="0" fillId="5" borderId="8" xfId="0" applyNumberFormat="1" applyFill="1" applyBorder="1"/>
    <xf numFmtId="0" fontId="2" fillId="3" borderId="7" xfId="0" applyFont="1" applyFill="1" applyBorder="1" applyAlignment="1">
      <alignment horizontal="center" vertical="center" wrapText="1"/>
    </xf>
    <xf numFmtId="10" fontId="0" fillId="5" borderId="6" xfId="1" applyNumberFormat="1" applyFont="1" applyFill="1" applyBorder="1" applyAlignment="1">
      <alignment horizontal="center"/>
    </xf>
    <xf numFmtId="9" fontId="0" fillId="5" borderId="8" xfId="0" applyNumberFormat="1" applyFill="1" applyBorder="1" applyAlignment="1">
      <alignment horizontal="center"/>
    </xf>
    <xf numFmtId="9" fontId="2" fillId="0" borderId="0" xfId="0" applyNumberFormat="1" applyFont="1"/>
    <xf numFmtId="10" fontId="0" fillId="5" borderId="4" xfId="0" applyNumberFormat="1" applyFill="1" applyBorder="1" applyAlignment="1">
      <alignment horizontal="center"/>
    </xf>
    <xf numFmtId="165" fontId="0" fillId="5" borderId="6" xfId="0" applyNumberForma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2" fontId="0" fillId="0" borderId="0" xfId="0" applyNumberFormat="1"/>
    <xf numFmtId="0" fontId="3" fillId="0" borderId="9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7F965-542E-4623-8170-B4504C172425}">
  <dimension ref="A1:J253"/>
  <sheetViews>
    <sheetView topLeftCell="A232" zoomScale="170" zoomScaleNormal="170" workbookViewId="0">
      <selection activeCell="L6" sqref="L6"/>
    </sheetView>
  </sheetViews>
  <sheetFormatPr defaultRowHeight="15" x14ac:dyDescent="0.25"/>
  <cols>
    <col min="1" max="1" width="11.42578125" bestFit="1" customWidth="1"/>
    <col min="2" max="2" width="11.5703125" customWidth="1"/>
    <col min="4" max="4" width="9.140625" customWidth="1"/>
    <col min="5" max="5" width="16.7109375" customWidth="1"/>
  </cols>
  <sheetData>
    <row r="1" spans="1:10" x14ac:dyDescent="0.25">
      <c r="A1" s="29" t="s">
        <v>0</v>
      </c>
      <c r="B1" s="29" t="s">
        <v>18</v>
      </c>
      <c r="C1" s="29" t="s">
        <v>2</v>
      </c>
      <c r="D1" s="29" t="s">
        <v>3</v>
      </c>
      <c r="E1" s="29" t="s">
        <v>4</v>
      </c>
      <c r="G1" s="29" t="s">
        <v>18</v>
      </c>
      <c r="H1" s="29" t="s">
        <v>2</v>
      </c>
      <c r="I1" s="29" t="s">
        <v>3</v>
      </c>
      <c r="J1" s="29" t="s">
        <v>4</v>
      </c>
    </row>
    <row r="2" spans="1:10" x14ac:dyDescent="0.25">
      <c r="A2" s="2">
        <v>44371</v>
      </c>
      <c r="B2" s="1">
        <v>425.10000600000001</v>
      </c>
      <c r="C2">
        <v>1775.599976</v>
      </c>
      <c r="D2">
        <v>266.69000199999999</v>
      </c>
      <c r="E2" s="35">
        <v>94.809997999999993</v>
      </c>
      <c r="G2" s="13">
        <f>(B2-B3)/B3</f>
        <v>5.9157594995396193E-3</v>
      </c>
      <c r="H2" s="13">
        <f t="shared" ref="H2:H65" si="0">(C2-C3)/C3</f>
        <v>-3.7592284215888362E-3</v>
      </c>
      <c r="I2" s="13">
        <f t="shared" ref="I2:I65" si="1">(D2-D3)/D3</f>
        <v>5.3530857574694704E-3</v>
      </c>
      <c r="J2" s="13">
        <f t="shared" ref="J2:J65" si="2">(E2-E3)/E3</f>
        <v>1.1615734264489672E-3</v>
      </c>
    </row>
    <row r="3" spans="1:10" x14ac:dyDescent="0.25">
      <c r="A3" s="2">
        <v>44370</v>
      </c>
      <c r="B3" s="1">
        <v>422.60000600000001</v>
      </c>
      <c r="C3">
        <v>1782.3000489999999</v>
      </c>
      <c r="D3">
        <v>265.26998900000001</v>
      </c>
      <c r="E3" s="35">
        <v>94.699996999999996</v>
      </c>
      <c r="G3" s="13">
        <f t="shared" ref="G3:G66" si="3">(B3-B4)/B4</f>
        <v>-1.2053107184411805E-3</v>
      </c>
      <c r="H3" s="13">
        <f t="shared" si="0"/>
        <v>3.3778077095577451E-3</v>
      </c>
      <c r="I3" s="13">
        <f t="shared" si="1"/>
        <v>-9.0399981529891437E-4</v>
      </c>
      <c r="J3" s="13">
        <f t="shared" si="2"/>
        <v>-1.7919889809637803E-3</v>
      </c>
    </row>
    <row r="4" spans="1:10" x14ac:dyDescent="0.25">
      <c r="A4" s="2">
        <v>44369</v>
      </c>
      <c r="B4" s="1">
        <v>423.10998499999999</v>
      </c>
      <c r="C4">
        <v>1776.3000489999999</v>
      </c>
      <c r="D4">
        <v>265.51001000000002</v>
      </c>
      <c r="E4" s="35">
        <v>94.870002999999997</v>
      </c>
      <c r="G4" s="13">
        <f t="shared" si="3"/>
        <v>5.3461960751626219E-3</v>
      </c>
      <c r="H4" s="13">
        <f t="shared" si="0"/>
        <v>-3.086766106604816E-3</v>
      </c>
      <c r="I4" s="13">
        <f t="shared" si="1"/>
        <v>1.0966016620987536E-2</v>
      </c>
      <c r="J4" s="13">
        <f t="shared" si="2"/>
        <v>1.4778844670785092E-3</v>
      </c>
    </row>
    <row r="5" spans="1:10" x14ac:dyDescent="0.25">
      <c r="A5" s="2">
        <v>44368</v>
      </c>
      <c r="B5" s="1">
        <v>420.85998499999999</v>
      </c>
      <c r="C5">
        <v>1781.8000489999999</v>
      </c>
      <c r="D5">
        <v>262.63000499999998</v>
      </c>
      <c r="E5" s="35">
        <v>94.730002999999996</v>
      </c>
      <c r="G5" s="13">
        <f t="shared" si="3"/>
        <v>1.4315944793918657E-2</v>
      </c>
      <c r="H5" s="13">
        <f t="shared" si="0"/>
        <v>7.8624496924606154E-3</v>
      </c>
      <c r="I5" s="13">
        <f t="shared" si="1"/>
        <v>1.2334780427642991E-2</v>
      </c>
      <c r="J5" s="13">
        <f t="shared" si="2"/>
        <v>-1.7913487504458033E-3</v>
      </c>
    </row>
    <row r="6" spans="1:10" x14ac:dyDescent="0.25">
      <c r="A6" s="2">
        <v>44365</v>
      </c>
      <c r="B6" s="1">
        <v>414.92001299999998</v>
      </c>
      <c r="C6">
        <v>1767.900024</v>
      </c>
      <c r="D6">
        <v>259.42999300000002</v>
      </c>
      <c r="E6" s="35">
        <v>94.900002000000001</v>
      </c>
      <c r="G6" s="13">
        <f t="shared" si="3"/>
        <v>-1.6707320386029151E-2</v>
      </c>
      <c r="H6" s="13">
        <f t="shared" si="0"/>
        <v>-3.3262063575463991E-3</v>
      </c>
      <c r="I6" s="13">
        <f t="shared" si="1"/>
        <v>-5.6343466224838927E-3</v>
      </c>
      <c r="J6" s="13">
        <f t="shared" si="2"/>
        <v>2.6413100339923922E-3</v>
      </c>
    </row>
    <row r="7" spans="1:10" x14ac:dyDescent="0.25">
      <c r="A7" s="2">
        <v>44364</v>
      </c>
      <c r="B7" s="1">
        <v>421.97000100000002</v>
      </c>
      <c r="C7">
        <v>1773.8000489999999</v>
      </c>
      <c r="D7">
        <v>260.89999399999999</v>
      </c>
      <c r="E7" s="35">
        <v>94.650002000000001</v>
      </c>
      <c r="G7" s="13">
        <f t="shared" si="3"/>
        <v>-3.3162920796571518E-4</v>
      </c>
      <c r="H7" s="13">
        <f t="shared" si="0"/>
        <v>-4.6087631621403634E-2</v>
      </c>
      <c r="I7" s="13">
        <f t="shared" si="1"/>
        <v>1.3676233318901403E-2</v>
      </c>
      <c r="J7" s="13">
        <f t="shared" si="2"/>
        <v>2.2236340062762147E-3</v>
      </c>
    </row>
    <row r="8" spans="1:10" x14ac:dyDescent="0.25">
      <c r="A8" s="2">
        <v>44363</v>
      </c>
      <c r="B8" s="1">
        <v>422.10998499999999</v>
      </c>
      <c r="C8">
        <v>1859.5</v>
      </c>
      <c r="D8">
        <v>257.38000499999998</v>
      </c>
      <c r="E8" s="35">
        <v>94.440002000000007</v>
      </c>
      <c r="G8" s="13">
        <f t="shared" si="3"/>
        <v>-5.5833630290779363E-3</v>
      </c>
      <c r="H8" s="13">
        <f t="shared" si="0"/>
        <v>2.6961445133459154E-3</v>
      </c>
      <c r="I8" s="13">
        <f t="shared" si="1"/>
        <v>-3.7930796442800997E-3</v>
      </c>
      <c r="J8" s="13">
        <f t="shared" si="2"/>
        <v>-5.0568479784418013E-3</v>
      </c>
    </row>
    <row r="9" spans="1:10" x14ac:dyDescent="0.25">
      <c r="A9" s="2">
        <v>44362</v>
      </c>
      <c r="B9" s="1">
        <v>424.48001099999999</v>
      </c>
      <c r="C9">
        <v>1854.5</v>
      </c>
      <c r="D9">
        <v>258.35998499999999</v>
      </c>
      <c r="E9" s="35">
        <v>94.919998000000007</v>
      </c>
      <c r="G9" s="13">
        <f t="shared" si="3"/>
        <v>-1.8341696412978782E-3</v>
      </c>
      <c r="H9" s="13">
        <f t="shared" si="0"/>
        <v>-5.09656652360515E-3</v>
      </c>
      <c r="I9" s="13">
        <f t="shared" si="1"/>
        <v>-5.8872211770044751E-3</v>
      </c>
      <c r="J9" s="13">
        <f t="shared" si="2"/>
        <v>1.0546087323350937E-3</v>
      </c>
    </row>
    <row r="10" spans="1:10" x14ac:dyDescent="0.25">
      <c r="A10" s="2">
        <v>44361</v>
      </c>
      <c r="B10" s="1">
        <v>425.26001000000002</v>
      </c>
      <c r="C10">
        <v>1864</v>
      </c>
      <c r="D10">
        <v>259.89001500000001</v>
      </c>
      <c r="E10" s="35">
        <v>94.82</v>
      </c>
      <c r="G10" s="13">
        <f t="shared" si="3"/>
        <v>2.2389573766301287E-3</v>
      </c>
      <c r="H10" s="13">
        <f t="shared" si="0"/>
        <v>-7.137543319856712E-3</v>
      </c>
      <c r="I10" s="13">
        <f t="shared" si="1"/>
        <v>7.7552440330037591E-3</v>
      </c>
      <c r="J10" s="13">
        <f t="shared" si="2"/>
        <v>-2.2098179754796218E-3</v>
      </c>
    </row>
    <row r="11" spans="1:10" x14ac:dyDescent="0.25">
      <c r="A11" s="2">
        <v>44358</v>
      </c>
      <c r="B11" s="1">
        <v>424.30999800000001</v>
      </c>
      <c r="C11">
        <v>1877.400024</v>
      </c>
      <c r="D11">
        <v>257.89001500000001</v>
      </c>
      <c r="E11" s="35">
        <v>95.029999000000004</v>
      </c>
      <c r="G11" s="13">
        <f t="shared" si="3"/>
        <v>1.6524940978433563E-3</v>
      </c>
      <c r="H11" s="13">
        <f t="shared" si="0"/>
        <v>-8.869141291620709E-3</v>
      </c>
      <c r="I11" s="13">
        <f t="shared" si="1"/>
        <v>2.5269204838642232E-3</v>
      </c>
      <c r="J11" s="13">
        <f t="shared" si="2"/>
        <v>-1.0523989788257753E-4</v>
      </c>
    </row>
    <row r="12" spans="1:10" x14ac:dyDescent="0.25">
      <c r="A12" s="2">
        <v>44357</v>
      </c>
      <c r="B12" s="1">
        <v>423.60998499999999</v>
      </c>
      <c r="C12">
        <v>1894.1999510000001</v>
      </c>
      <c r="D12">
        <v>257.23998999999998</v>
      </c>
      <c r="E12" s="35">
        <v>95.040001000000004</v>
      </c>
      <c r="G12" s="13">
        <f t="shared" si="3"/>
        <v>4.6483837967278667E-3</v>
      </c>
      <c r="H12" s="13">
        <f t="shared" si="0"/>
        <v>5.2820622537613825E-4</v>
      </c>
      <c r="I12" s="13">
        <f t="shared" si="1"/>
        <v>1.4393288605911582E-2</v>
      </c>
      <c r="J12" s="13">
        <f t="shared" si="2"/>
        <v>3.3783783427114556E-3</v>
      </c>
    </row>
    <row r="13" spans="1:10" x14ac:dyDescent="0.25">
      <c r="A13" s="2">
        <v>44356</v>
      </c>
      <c r="B13" s="1">
        <v>421.64999399999999</v>
      </c>
      <c r="C13">
        <v>1893.1999510000001</v>
      </c>
      <c r="D13">
        <v>253.58999600000001</v>
      </c>
      <c r="E13" s="35">
        <v>94.720000999999996</v>
      </c>
      <c r="G13" s="13">
        <f t="shared" si="3"/>
        <v>-1.4919129522873349E-3</v>
      </c>
      <c r="H13" s="13">
        <f t="shared" si="0"/>
        <v>5.2848537464104397E-4</v>
      </c>
      <c r="I13" s="13">
        <f t="shared" si="1"/>
        <v>4.038440716359522E-3</v>
      </c>
      <c r="J13" s="13">
        <f t="shared" si="2"/>
        <v>2.2219764634011569E-3</v>
      </c>
    </row>
    <row r="14" spans="1:10" x14ac:dyDescent="0.25">
      <c r="A14" s="2">
        <v>44355</v>
      </c>
      <c r="B14" s="1">
        <v>422.27999899999998</v>
      </c>
      <c r="C14">
        <v>1892.1999510000001</v>
      </c>
      <c r="D14">
        <v>252.570007</v>
      </c>
      <c r="E14" s="35">
        <v>94.510002</v>
      </c>
      <c r="G14" s="13">
        <f t="shared" si="3"/>
        <v>2.1316705647610897E-4</v>
      </c>
      <c r="H14" s="13">
        <f t="shared" si="0"/>
        <v>-2.4251886762788086E-3</v>
      </c>
      <c r="I14" s="13">
        <f t="shared" si="1"/>
        <v>-4.8855088836965493E-3</v>
      </c>
      <c r="J14" s="13">
        <f t="shared" si="2"/>
        <v>2.3332378583811484E-3</v>
      </c>
    </row>
    <row r="15" spans="1:10" x14ac:dyDescent="0.25">
      <c r="A15" s="2">
        <v>44354</v>
      </c>
      <c r="B15" s="1">
        <v>422.19000199999999</v>
      </c>
      <c r="C15">
        <v>1896.8000489999999</v>
      </c>
      <c r="D15">
        <v>253.80999800000001</v>
      </c>
      <c r="E15" s="35">
        <v>94.290001000000004</v>
      </c>
      <c r="G15" s="13">
        <f t="shared" si="3"/>
        <v>-9.7019402313973206E-4</v>
      </c>
      <c r="H15" s="13">
        <f t="shared" si="0"/>
        <v>3.704095575457359E-3</v>
      </c>
      <c r="I15" s="13">
        <f t="shared" si="1"/>
        <v>1.2041967719182469E-2</v>
      </c>
      <c r="J15" s="13">
        <f t="shared" si="2"/>
        <v>-3.1805555555544375E-4</v>
      </c>
    </row>
    <row r="16" spans="1:10" x14ac:dyDescent="0.25">
      <c r="A16" s="2">
        <v>44351</v>
      </c>
      <c r="B16" s="1">
        <v>422.60000600000001</v>
      </c>
      <c r="C16">
        <v>1889.8000489999999</v>
      </c>
      <c r="D16">
        <v>250.78999300000001</v>
      </c>
      <c r="E16" s="35">
        <v>94.32</v>
      </c>
      <c r="G16" s="13">
        <f t="shared" si="3"/>
        <v>9.145872676181669E-3</v>
      </c>
      <c r="H16" s="13">
        <f t="shared" si="0"/>
        <v>9.9401979943723757E-3</v>
      </c>
      <c r="I16" s="13">
        <f t="shared" si="1"/>
        <v>2.0674721644527973E-2</v>
      </c>
      <c r="J16" s="13">
        <f t="shared" si="2"/>
        <v>4.4728220559568524E-3</v>
      </c>
    </row>
    <row r="17" spans="1:10" x14ac:dyDescent="0.25">
      <c r="A17" s="2">
        <v>44350</v>
      </c>
      <c r="B17" s="1">
        <v>418.76998900000001</v>
      </c>
      <c r="C17">
        <v>1871.1999510000001</v>
      </c>
      <c r="D17">
        <v>245.71000699999999</v>
      </c>
      <c r="E17" s="35">
        <v>93.900002000000001</v>
      </c>
      <c r="G17" s="13">
        <f t="shared" si="3"/>
        <v>-3.7113649947606697E-3</v>
      </c>
      <c r="H17" s="13">
        <f t="shared" si="0"/>
        <v>-1.9030169855832214E-2</v>
      </c>
      <c r="I17" s="13">
        <f t="shared" si="1"/>
        <v>-6.4294216769581417E-3</v>
      </c>
      <c r="J17" s="13">
        <f t="shared" si="2"/>
        <v>-3.3962958671587759E-3</v>
      </c>
    </row>
    <row r="18" spans="1:10" x14ac:dyDescent="0.25">
      <c r="A18" s="2">
        <v>44349</v>
      </c>
      <c r="B18" s="1">
        <v>420.32998700000002</v>
      </c>
      <c r="C18">
        <v>1907.5</v>
      </c>
      <c r="D18">
        <v>247.300003</v>
      </c>
      <c r="E18" s="35">
        <v>94.220000999999996</v>
      </c>
      <c r="G18" s="13">
        <f t="shared" si="3"/>
        <v>1.5726022340319889E-3</v>
      </c>
      <c r="H18" s="13">
        <f t="shared" si="0"/>
        <v>2.4173503294884447E-3</v>
      </c>
      <c r="I18" s="13">
        <f t="shared" si="1"/>
        <v>-4.0416735014144186E-4</v>
      </c>
      <c r="J18" s="13">
        <f t="shared" si="2"/>
        <v>1.5945678749867457E-3</v>
      </c>
    </row>
    <row r="19" spans="1:10" x14ac:dyDescent="0.25">
      <c r="A19" s="2">
        <v>44348</v>
      </c>
      <c r="B19" s="1">
        <v>419.67001299999998</v>
      </c>
      <c r="C19">
        <v>1902.900024</v>
      </c>
      <c r="D19">
        <v>247.39999399999999</v>
      </c>
      <c r="E19" s="35">
        <v>94.07</v>
      </c>
      <c r="G19" s="13">
        <f t="shared" si="3"/>
        <v>-8.8085894693906328E-4</v>
      </c>
      <c r="H19" s="13">
        <f t="shared" si="0"/>
        <v>2.1026228646519335E-4</v>
      </c>
      <c r="I19" s="13">
        <f t="shared" si="1"/>
        <v>-9.1316848122468663E-3</v>
      </c>
      <c r="J19" s="13">
        <f t="shared" si="2"/>
        <v>-1.2740418032904776E-3</v>
      </c>
    </row>
    <row r="20" spans="1:10" x14ac:dyDescent="0.25">
      <c r="A20" s="2">
        <v>44344</v>
      </c>
      <c r="B20" s="1">
        <v>420.040009</v>
      </c>
      <c r="C20">
        <v>1902.5</v>
      </c>
      <c r="D20">
        <v>249.679993</v>
      </c>
      <c r="E20" s="35">
        <v>94.190002000000007</v>
      </c>
      <c r="G20" s="13">
        <f t="shared" si="3"/>
        <v>1.7887380664965951E-3</v>
      </c>
      <c r="H20" s="13">
        <f t="shared" si="0"/>
        <v>3.5870914046354503E-3</v>
      </c>
      <c r="I20" s="13">
        <f t="shared" si="1"/>
        <v>1.4840760618031401E-3</v>
      </c>
      <c r="J20" s="13">
        <f t="shared" si="2"/>
        <v>3.1858537304231831E-4</v>
      </c>
    </row>
    <row r="21" spans="1:10" x14ac:dyDescent="0.25">
      <c r="A21" s="2">
        <v>44343</v>
      </c>
      <c r="B21" s="1">
        <v>419.290009</v>
      </c>
      <c r="C21">
        <v>1895.6999510000001</v>
      </c>
      <c r="D21">
        <v>249.30999800000001</v>
      </c>
      <c r="E21" s="35">
        <v>94.160004000000001</v>
      </c>
      <c r="G21" s="13">
        <f t="shared" si="3"/>
        <v>5.2497672542817469E-4</v>
      </c>
      <c r="H21" s="13">
        <f t="shared" si="0"/>
        <v>-2.945404647175649E-3</v>
      </c>
      <c r="I21" s="13">
        <f t="shared" si="1"/>
        <v>-8.6683643749579202E-3</v>
      </c>
      <c r="J21" s="13">
        <f t="shared" si="2"/>
        <v>-1.8021625823774769E-3</v>
      </c>
    </row>
    <row r="22" spans="1:10" x14ac:dyDescent="0.25">
      <c r="A22" s="2">
        <v>44342</v>
      </c>
      <c r="B22" s="1">
        <v>419.07000699999998</v>
      </c>
      <c r="C22">
        <v>1901.3000489999999</v>
      </c>
      <c r="D22">
        <v>251.490005</v>
      </c>
      <c r="E22" s="35">
        <v>94.330001999999993</v>
      </c>
      <c r="G22" s="13">
        <f t="shared" si="3"/>
        <v>1.9845471974117013E-3</v>
      </c>
      <c r="H22" s="13">
        <f t="shared" si="0"/>
        <v>1.6859349035679956E-3</v>
      </c>
      <c r="I22" s="13">
        <f t="shared" si="1"/>
        <v>-9.1369775578540484E-4</v>
      </c>
      <c r="J22" s="13">
        <f t="shared" si="2"/>
        <v>-4.2387409906094556E-4</v>
      </c>
    </row>
    <row r="23" spans="1:10" x14ac:dyDescent="0.25">
      <c r="A23" s="2">
        <v>44341</v>
      </c>
      <c r="B23" s="1">
        <v>418.23998999999998</v>
      </c>
      <c r="C23">
        <v>1898.099976</v>
      </c>
      <c r="D23">
        <v>251.720001</v>
      </c>
      <c r="E23" s="35">
        <v>94.370002999999997</v>
      </c>
      <c r="G23" s="13">
        <f t="shared" si="3"/>
        <v>-2.2187250307908013E-3</v>
      </c>
      <c r="H23" s="13">
        <f t="shared" si="0"/>
        <v>7.1633238734584385E-3</v>
      </c>
      <c r="I23" s="13">
        <f t="shared" si="1"/>
        <v>3.7483132775672141E-3</v>
      </c>
      <c r="J23" s="13">
        <f t="shared" si="2"/>
        <v>2.7627456937334436E-3</v>
      </c>
    </row>
    <row r="24" spans="1:10" x14ac:dyDescent="0.25">
      <c r="A24" s="2">
        <v>44340</v>
      </c>
      <c r="B24" s="1">
        <v>419.17001299999998</v>
      </c>
      <c r="C24">
        <v>1884.599976</v>
      </c>
      <c r="D24">
        <v>250.779999</v>
      </c>
      <c r="E24" s="35">
        <v>94.110000999999997</v>
      </c>
      <c r="G24" s="13">
        <f t="shared" si="3"/>
        <v>1.0194271411797965E-2</v>
      </c>
      <c r="H24" s="13">
        <f t="shared" si="0"/>
        <v>4.2095301360190176E-3</v>
      </c>
      <c r="I24" s="13">
        <f t="shared" si="1"/>
        <v>2.2882086086242946E-2</v>
      </c>
      <c r="J24" s="13">
        <f t="shared" si="2"/>
        <v>1.2767635126452175E-3</v>
      </c>
    </row>
    <row r="25" spans="1:10" x14ac:dyDescent="0.25">
      <c r="A25" s="2">
        <v>44337</v>
      </c>
      <c r="B25" s="1">
        <v>414.94000199999999</v>
      </c>
      <c r="C25">
        <v>1876.6999510000001</v>
      </c>
      <c r="D25">
        <v>245.16999799999999</v>
      </c>
      <c r="E25" s="35">
        <v>93.989998</v>
      </c>
      <c r="G25" s="13">
        <f t="shared" si="3"/>
        <v>-8.1871749378419404E-4</v>
      </c>
      <c r="H25" s="13">
        <f t="shared" si="0"/>
        <v>-2.7102231199909428E-3</v>
      </c>
      <c r="I25" s="13">
        <f t="shared" si="1"/>
        <v>-5.3148248184814451E-3</v>
      </c>
      <c r="J25" s="13">
        <f t="shared" si="2"/>
        <v>4.2576903967334593E-4</v>
      </c>
    </row>
    <row r="26" spans="1:10" x14ac:dyDescent="0.25">
      <c r="A26" s="2">
        <v>44336</v>
      </c>
      <c r="B26" s="1">
        <v>415.27999899999998</v>
      </c>
      <c r="C26">
        <v>1881.8000489999999</v>
      </c>
      <c r="D26">
        <v>246.479996</v>
      </c>
      <c r="E26" s="35">
        <v>93.949996999999996</v>
      </c>
      <c r="G26" s="13">
        <f t="shared" si="3"/>
        <v>1.0757956874286457E-2</v>
      </c>
      <c r="H26" s="13">
        <f t="shared" si="0"/>
        <v>2.657736602227665E-4</v>
      </c>
      <c r="I26" s="13">
        <f t="shared" si="1"/>
        <v>1.3820340034146559E-2</v>
      </c>
      <c r="J26" s="13">
        <f t="shared" si="2"/>
        <v>3.8465756532353834E-3</v>
      </c>
    </row>
    <row r="27" spans="1:10" x14ac:dyDescent="0.25">
      <c r="A27" s="2">
        <v>44335</v>
      </c>
      <c r="B27" s="1">
        <v>410.85998499999999</v>
      </c>
      <c r="C27">
        <v>1881.3000489999999</v>
      </c>
      <c r="D27">
        <v>243.11999499999999</v>
      </c>
      <c r="E27" s="35">
        <v>93.589995999999999</v>
      </c>
      <c r="G27" s="13">
        <f t="shared" si="3"/>
        <v>-2.6217822856640129E-3</v>
      </c>
      <c r="H27" s="13">
        <f t="shared" si="0"/>
        <v>7.227754387964469E-3</v>
      </c>
      <c r="I27" s="13">
        <f t="shared" si="1"/>
        <v>1.6452608059457435E-4</v>
      </c>
      <c r="J27" s="13">
        <f t="shared" si="2"/>
        <v>-1.9196012131684752E-3</v>
      </c>
    </row>
    <row r="28" spans="1:10" x14ac:dyDescent="0.25">
      <c r="A28" s="2">
        <v>44334</v>
      </c>
      <c r="B28" s="1">
        <v>411.94000199999999</v>
      </c>
      <c r="C28">
        <v>1867.8000489999999</v>
      </c>
      <c r="D28">
        <v>243.08000200000001</v>
      </c>
      <c r="E28" s="35">
        <v>93.769997000000004</v>
      </c>
      <c r="G28" s="13">
        <f t="shared" si="3"/>
        <v>-8.6156793770997553E-3</v>
      </c>
      <c r="H28" s="13">
        <f t="shared" si="0"/>
        <v>1.6066880856757402E-4</v>
      </c>
      <c r="I28" s="13">
        <f t="shared" si="1"/>
        <v>-8.565099355394748E-3</v>
      </c>
      <c r="J28" s="13">
        <f t="shared" si="2"/>
        <v>-1.0653669628623893E-3</v>
      </c>
    </row>
    <row r="29" spans="1:10" x14ac:dyDescent="0.25">
      <c r="A29" s="2">
        <v>44333</v>
      </c>
      <c r="B29" s="1">
        <v>415.51998900000001</v>
      </c>
      <c r="C29">
        <v>1867.5</v>
      </c>
      <c r="D29">
        <v>245.179993</v>
      </c>
      <c r="E29" s="35">
        <v>93.870002999999997</v>
      </c>
      <c r="G29" s="13">
        <f t="shared" si="3"/>
        <v>-2.5445245404936059E-3</v>
      </c>
      <c r="H29" s="13">
        <f t="shared" si="0"/>
        <v>1.6105324344889375E-2</v>
      </c>
      <c r="I29" s="13">
        <f t="shared" si="1"/>
        <v>-1.1968571717958601E-2</v>
      </c>
      <c r="J29" s="13">
        <f t="shared" si="2"/>
        <v>-1.0641481210583298E-3</v>
      </c>
    </row>
    <row r="30" spans="1:10" x14ac:dyDescent="0.25">
      <c r="A30" s="2">
        <v>44330</v>
      </c>
      <c r="B30" s="1">
        <v>416.57998700000002</v>
      </c>
      <c r="C30">
        <v>1837.900024</v>
      </c>
      <c r="D30">
        <v>248.14999399999999</v>
      </c>
      <c r="E30" s="35">
        <v>93.970000999999996</v>
      </c>
      <c r="G30" s="13">
        <f t="shared" si="3"/>
        <v>1.5355337855502048E-2</v>
      </c>
      <c r="H30" s="13">
        <f t="shared" si="0"/>
        <v>7.7310969520651036E-3</v>
      </c>
      <c r="I30" s="13">
        <f t="shared" si="1"/>
        <v>2.1067337452443428E-2</v>
      </c>
      <c r="J30" s="13">
        <f t="shared" si="2"/>
        <v>2.9885686201606594E-3</v>
      </c>
    </row>
    <row r="31" spans="1:10" x14ac:dyDescent="0.25">
      <c r="A31" s="2">
        <v>44329</v>
      </c>
      <c r="B31" s="1">
        <v>410.27999899999998</v>
      </c>
      <c r="C31">
        <v>1823.8000489999999</v>
      </c>
      <c r="D31">
        <v>243.029999</v>
      </c>
      <c r="E31" s="35">
        <v>93.690002000000007</v>
      </c>
      <c r="G31" s="13">
        <f t="shared" si="3"/>
        <v>1.201251807293823E-2</v>
      </c>
      <c r="H31" s="13">
        <f t="shared" si="0"/>
        <v>6.5844014912901268E-4</v>
      </c>
      <c r="I31" s="13">
        <f t="shared" si="1"/>
        <v>1.6861920502092065E-2</v>
      </c>
      <c r="J31" s="13">
        <f t="shared" si="2"/>
        <v>3.6422496763203736E-3</v>
      </c>
    </row>
    <row r="32" spans="1:10" x14ac:dyDescent="0.25">
      <c r="A32" s="2">
        <v>44328</v>
      </c>
      <c r="B32" s="1">
        <v>405.41000400000001</v>
      </c>
      <c r="C32">
        <v>1822.599976</v>
      </c>
      <c r="D32">
        <v>239</v>
      </c>
      <c r="E32" s="35">
        <v>93.349997999999999</v>
      </c>
      <c r="G32" s="13">
        <f t="shared" si="3"/>
        <v>-2.1245231141708475E-2</v>
      </c>
      <c r="H32" s="13">
        <f t="shared" si="0"/>
        <v>-7.2444293404508725E-3</v>
      </c>
      <c r="I32" s="13">
        <f t="shared" si="1"/>
        <v>-2.9362775118592782E-2</v>
      </c>
      <c r="J32" s="13">
        <f t="shared" si="2"/>
        <v>-5.0096141547643766E-3</v>
      </c>
    </row>
    <row r="33" spans="1:10" x14ac:dyDescent="0.25">
      <c r="A33" s="2">
        <v>44327</v>
      </c>
      <c r="B33" s="1">
        <v>414.209991</v>
      </c>
      <c r="C33">
        <v>1835.900024</v>
      </c>
      <c r="D33">
        <v>246.229996</v>
      </c>
      <c r="E33" s="35">
        <v>93.82</v>
      </c>
      <c r="G33" s="13">
        <f t="shared" si="3"/>
        <v>-8.9247523140893095E-3</v>
      </c>
      <c r="H33" s="13">
        <f t="shared" si="0"/>
        <v>-8.7073523809522158E-4</v>
      </c>
      <c r="I33" s="13">
        <f t="shared" si="1"/>
        <v>-3.8433409940261476E-3</v>
      </c>
      <c r="J33" s="13">
        <f t="shared" si="2"/>
        <v>-2.0210828205280422E-3</v>
      </c>
    </row>
    <row r="34" spans="1:10" x14ac:dyDescent="0.25">
      <c r="A34" s="2">
        <v>44326</v>
      </c>
      <c r="B34" s="1">
        <v>417.94000199999999</v>
      </c>
      <c r="C34">
        <v>1837.5</v>
      </c>
      <c r="D34">
        <v>247.179993</v>
      </c>
      <c r="E34" s="35">
        <v>94.010002</v>
      </c>
      <c r="G34" s="13">
        <f t="shared" si="3"/>
        <v>-9.9023809568651779E-3</v>
      </c>
      <c r="H34" s="13">
        <f t="shared" si="0"/>
        <v>3.4951799922911639E-3</v>
      </c>
      <c r="I34" s="13">
        <f t="shared" si="1"/>
        <v>-2.0914259104809398E-2</v>
      </c>
      <c r="J34" s="13">
        <f t="shared" si="2"/>
        <v>-1.3808901782546548E-3</v>
      </c>
    </row>
    <row r="35" spans="1:10" x14ac:dyDescent="0.25">
      <c r="A35" s="2">
        <v>44323</v>
      </c>
      <c r="B35" s="1">
        <v>422.11999500000002</v>
      </c>
      <c r="C35">
        <v>1831.099976</v>
      </c>
      <c r="D35">
        <v>252.46000699999999</v>
      </c>
      <c r="E35" s="35">
        <v>94.139999000000003</v>
      </c>
      <c r="G35" s="13">
        <f t="shared" si="3"/>
        <v>7.2779916220538348E-3</v>
      </c>
      <c r="H35" s="13">
        <f t="shared" si="0"/>
        <v>8.5926609749380177E-3</v>
      </c>
      <c r="I35" s="13">
        <f t="shared" si="1"/>
        <v>1.0931850573528983E-2</v>
      </c>
      <c r="J35" s="13">
        <f t="shared" si="2"/>
        <v>9.5689523795123427E-4</v>
      </c>
    </row>
    <row r="36" spans="1:10" x14ac:dyDescent="0.25">
      <c r="A36" s="2">
        <v>44322</v>
      </c>
      <c r="B36" s="1">
        <v>419.07000699999998</v>
      </c>
      <c r="C36">
        <v>1815.5</v>
      </c>
      <c r="D36">
        <v>249.729996</v>
      </c>
      <c r="E36" s="35">
        <v>94.050003000000004</v>
      </c>
      <c r="G36" s="13">
        <f t="shared" si="3"/>
        <v>7.9855850871917624E-3</v>
      </c>
      <c r="H36" s="13">
        <f t="shared" si="0"/>
        <v>1.7599924007846088E-2</v>
      </c>
      <c r="I36" s="13">
        <f t="shared" si="1"/>
        <v>1.3226741537604017E-2</v>
      </c>
      <c r="J36" s="13">
        <f t="shared" si="2"/>
        <v>1.4907783413575734E-3</v>
      </c>
    </row>
    <row r="37" spans="1:10" x14ac:dyDescent="0.25">
      <c r="A37" s="2">
        <v>44321</v>
      </c>
      <c r="B37" s="1">
        <v>415.75</v>
      </c>
      <c r="C37">
        <v>1784.099976</v>
      </c>
      <c r="D37">
        <v>246.470001</v>
      </c>
      <c r="E37" s="35">
        <v>93.910004000000001</v>
      </c>
      <c r="G37" s="13">
        <f t="shared" si="3"/>
        <v>3.1279775170581681E-4</v>
      </c>
      <c r="H37" s="13">
        <f t="shared" si="0"/>
        <v>4.6739085319171684E-3</v>
      </c>
      <c r="I37" s="13">
        <f t="shared" si="1"/>
        <v>-5.3270593538457117E-3</v>
      </c>
      <c r="J37" s="13">
        <f t="shared" si="2"/>
        <v>1.0660484184213243E-3</v>
      </c>
    </row>
    <row r="38" spans="1:10" x14ac:dyDescent="0.25">
      <c r="A38" s="2">
        <v>44320</v>
      </c>
      <c r="B38" s="1">
        <v>415.61999500000002</v>
      </c>
      <c r="C38">
        <v>1775.8000489999999</v>
      </c>
      <c r="D38">
        <v>247.78999300000001</v>
      </c>
      <c r="E38" s="35">
        <v>93.809997999999993</v>
      </c>
      <c r="G38" s="13">
        <f t="shared" si="3"/>
        <v>-6.1693374604685517E-3</v>
      </c>
      <c r="H38" s="13">
        <f t="shared" si="0"/>
        <v>-8.7082587869832945E-3</v>
      </c>
      <c r="I38" s="13">
        <f t="shared" si="1"/>
        <v>-1.6159803001033108E-2</v>
      </c>
      <c r="J38" s="13">
        <f t="shared" si="2"/>
        <v>-1.066083990620344E-4</v>
      </c>
    </row>
    <row r="39" spans="1:10" x14ac:dyDescent="0.25">
      <c r="A39" s="2">
        <v>44319</v>
      </c>
      <c r="B39" s="1">
        <v>418.20001200000002</v>
      </c>
      <c r="C39">
        <v>1791.400024</v>
      </c>
      <c r="D39">
        <v>251.86000100000001</v>
      </c>
      <c r="E39" s="35">
        <v>93.82</v>
      </c>
      <c r="G39" s="13">
        <f t="shared" si="3"/>
        <v>2.1567793574919308E-3</v>
      </c>
      <c r="H39" s="13">
        <f t="shared" si="0"/>
        <v>1.3636606310081128E-2</v>
      </c>
      <c r="I39" s="13">
        <f t="shared" si="1"/>
        <v>-1.2689031996284692E-3</v>
      </c>
      <c r="J39" s="13">
        <f t="shared" si="2"/>
        <v>0</v>
      </c>
    </row>
    <row r="40" spans="1:10" x14ac:dyDescent="0.25">
      <c r="A40" s="2">
        <v>44316</v>
      </c>
      <c r="B40" s="1">
        <v>417.29998799999998</v>
      </c>
      <c r="C40">
        <v>1767.3000489999999</v>
      </c>
      <c r="D40">
        <v>252.179993</v>
      </c>
      <c r="E40" s="35">
        <v>93.82</v>
      </c>
      <c r="G40" s="13">
        <f t="shared" si="3"/>
        <v>-6.5705137674166789E-3</v>
      </c>
      <c r="H40" s="13">
        <f t="shared" si="0"/>
        <v>-4.5242181486236568E-4</v>
      </c>
      <c r="I40" s="13">
        <f t="shared" si="1"/>
        <v>-1.3068868818440532E-3</v>
      </c>
      <c r="J40" s="13">
        <f t="shared" si="2"/>
        <v>1.0669974277955549E-3</v>
      </c>
    </row>
    <row r="41" spans="1:10" x14ac:dyDescent="0.25">
      <c r="A41" s="2">
        <v>44315</v>
      </c>
      <c r="B41" s="1">
        <v>420.05999800000001</v>
      </c>
      <c r="C41">
        <v>1768.099976</v>
      </c>
      <c r="D41">
        <v>252.509995</v>
      </c>
      <c r="E41" s="35">
        <v>93.720000999999996</v>
      </c>
      <c r="G41" s="13">
        <f t="shared" si="3"/>
        <v>6.3727935750761298E-3</v>
      </c>
      <c r="H41" s="13">
        <f t="shared" si="0"/>
        <v>-2.8761420826365035E-3</v>
      </c>
      <c r="I41" s="13">
        <f t="shared" si="1"/>
        <v>-8.0531230990974617E-3</v>
      </c>
      <c r="J41" s="13">
        <f t="shared" si="2"/>
        <v>-8.5289975950221932E-4</v>
      </c>
    </row>
    <row r="42" spans="1:10" x14ac:dyDescent="0.25">
      <c r="A42" s="2">
        <v>44314</v>
      </c>
      <c r="B42" s="1">
        <v>417.39999399999999</v>
      </c>
      <c r="C42">
        <v>1773.1999510000001</v>
      </c>
      <c r="D42">
        <v>254.55999800000001</v>
      </c>
      <c r="E42" s="35">
        <v>93.800003000000004</v>
      </c>
      <c r="G42" s="13">
        <f t="shared" si="3"/>
        <v>-2.8739941358835679E-4</v>
      </c>
      <c r="H42" s="13">
        <f t="shared" si="0"/>
        <v>-2.6996901012373139E-3</v>
      </c>
      <c r="I42" s="13">
        <f t="shared" si="1"/>
        <v>-2.8285692910311577E-2</v>
      </c>
      <c r="J42" s="13">
        <f t="shared" si="2"/>
        <v>9.6045246996542518E-4</v>
      </c>
    </row>
    <row r="43" spans="1:10" x14ac:dyDescent="0.25">
      <c r="A43" s="2">
        <v>44313</v>
      </c>
      <c r="B43" s="1">
        <v>417.51998900000001</v>
      </c>
      <c r="C43">
        <v>1778</v>
      </c>
      <c r="D43">
        <v>261.97000100000002</v>
      </c>
      <c r="E43" s="35">
        <v>93.709998999999996</v>
      </c>
      <c r="G43" s="13">
        <f t="shared" si="3"/>
        <v>-2.1550251007524423E-4</v>
      </c>
      <c r="H43" s="13">
        <f t="shared" si="0"/>
        <v>-6.7443290976127921E-4</v>
      </c>
      <c r="I43" s="13">
        <f t="shared" si="1"/>
        <v>1.6058612856829494E-3</v>
      </c>
      <c r="J43" s="13">
        <f t="shared" si="2"/>
        <v>-2.4484031839813098E-3</v>
      </c>
    </row>
    <row r="44" spans="1:10" x14ac:dyDescent="0.25">
      <c r="A44" s="2">
        <v>44312</v>
      </c>
      <c r="B44" s="1">
        <v>417.60998499999999</v>
      </c>
      <c r="C44">
        <v>1779.1999510000001</v>
      </c>
      <c r="D44">
        <v>261.54998799999998</v>
      </c>
      <c r="E44" s="35">
        <v>93.940002000000007</v>
      </c>
      <c r="G44" s="13">
        <f t="shared" si="3"/>
        <v>2.0876206288722547E-3</v>
      </c>
      <c r="H44" s="13">
        <f t="shared" si="0"/>
        <v>1.2380140686550679E-3</v>
      </c>
      <c r="I44" s="13">
        <f t="shared" si="1"/>
        <v>1.5316638299443823E-3</v>
      </c>
      <c r="J44" s="13">
        <f t="shared" si="2"/>
        <v>-5.3192893992819374E-4</v>
      </c>
    </row>
    <row r="45" spans="1:10" x14ac:dyDescent="0.25">
      <c r="A45" s="2">
        <v>44309</v>
      </c>
      <c r="B45" s="1">
        <v>416.73998999999998</v>
      </c>
      <c r="C45">
        <v>1777</v>
      </c>
      <c r="D45">
        <v>261.14999399999999</v>
      </c>
      <c r="E45" s="35">
        <v>93.989998</v>
      </c>
      <c r="G45" s="13">
        <f t="shared" si="3"/>
        <v>1.0842411815719061E-2</v>
      </c>
      <c r="H45" s="13">
        <f t="shared" si="0"/>
        <v>-2.3579334805405323E-3</v>
      </c>
      <c r="I45" s="13">
        <f t="shared" si="1"/>
        <v>1.547606952137149E-2</v>
      </c>
      <c r="J45" s="13">
        <f t="shared" si="2"/>
        <v>5.3221203891387018E-4</v>
      </c>
    </row>
    <row r="46" spans="1:10" x14ac:dyDescent="0.25">
      <c r="A46" s="2">
        <v>44308</v>
      </c>
      <c r="B46" s="1">
        <v>412.26998900000001</v>
      </c>
      <c r="C46">
        <v>1781.1999510000001</v>
      </c>
      <c r="D46">
        <v>257.17001299999998</v>
      </c>
      <c r="E46" s="35">
        <v>93.940002000000007</v>
      </c>
      <c r="G46" s="13">
        <f t="shared" si="3"/>
        <v>-9.1331216768046584E-3</v>
      </c>
      <c r="H46" s="13">
        <f t="shared" si="0"/>
        <v>-6.1932141363233812E-3</v>
      </c>
      <c r="I46" s="13">
        <f t="shared" si="1"/>
        <v>-1.3086093215593082E-2</v>
      </c>
      <c r="J46" s="13">
        <f t="shared" si="2"/>
        <v>6.3916704215493162E-4</v>
      </c>
    </row>
    <row r="47" spans="1:10" x14ac:dyDescent="0.25">
      <c r="A47" s="2">
        <v>44307</v>
      </c>
      <c r="B47" s="1">
        <v>416.07000699999998</v>
      </c>
      <c r="C47">
        <v>1792.3000489999999</v>
      </c>
      <c r="D47">
        <v>260.57998700000002</v>
      </c>
      <c r="E47" s="35">
        <v>93.879997000000003</v>
      </c>
      <c r="G47" s="13">
        <f t="shared" si="3"/>
        <v>9.4621002911242664E-3</v>
      </c>
      <c r="H47" s="13">
        <f t="shared" si="0"/>
        <v>8.439767955016806E-3</v>
      </c>
      <c r="I47" s="13">
        <f t="shared" si="1"/>
        <v>8.9831058242427625E-3</v>
      </c>
      <c r="J47" s="13">
        <f t="shared" si="2"/>
        <v>1.9210246079304231E-3</v>
      </c>
    </row>
    <row r="48" spans="1:10" x14ac:dyDescent="0.25">
      <c r="A48" s="2">
        <v>44306</v>
      </c>
      <c r="B48" s="1">
        <v>412.17001299999998</v>
      </c>
      <c r="C48">
        <v>1777.3000489999999</v>
      </c>
      <c r="D48">
        <v>258.26001000000002</v>
      </c>
      <c r="E48" s="35">
        <v>93.699996999999996</v>
      </c>
      <c r="G48" s="13">
        <f t="shared" si="3"/>
        <v>-7.321543474130947E-3</v>
      </c>
      <c r="H48" s="13">
        <f t="shared" si="0"/>
        <v>4.4648043929267599E-3</v>
      </c>
      <c r="I48" s="13">
        <f t="shared" si="1"/>
        <v>-1.8550669341834444E-3</v>
      </c>
      <c r="J48" s="13">
        <f t="shared" si="2"/>
        <v>1.4963553120213096E-3</v>
      </c>
    </row>
    <row r="49" spans="1:10" x14ac:dyDescent="0.25">
      <c r="A49" s="2">
        <v>44305</v>
      </c>
      <c r="B49" s="1">
        <v>415.209991</v>
      </c>
      <c r="C49">
        <v>1769.400024</v>
      </c>
      <c r="D49">
        <v>258.73998999999998</v>
      </c>
      <c r="E49" s="35">
        <v>93.559997999999993</v>
      </c>
      <c r="G49" s="13">
        <f t="shared" si="3"/>
        <v>-4.9130492998838305E-3</v>
      </c>
      <c r="H49" s="13">
        <f t="shared" si="0"/>
        <v>-5.3962765598650755E-3</v>
      </c>
      <c r="I49" s="13">
        <f t="shared" si="1"/>
        <v>-7.6704766307615496E-3</v>
      </c>
      <c r="J49" s="13">
        <f t="shared" si="2"/>
        <v>-7.4761296852343076E-4</v>
      </c>
    </row>
    <row r="50" spans="1:10" x14ac:dyDescent="0.25">
      <c r="A50" s="2">
        <v>44302</v>
      </c>
      <c r="B50" s="1">
        <v>417.26001000000002</v>
      </c>
      <c r="C50">
        <v>1779</v>
      </c>
      <c r="D50">
        <v>260.73998999999998</v>
      </c>
      <c r="E50" s="35">
        <v>93.629997000000003</v>
      </c>
      <c r="G50" s="13">
        <f t="shared" si="3"/>
        <v>3.3424267600743961E-3</v>
      </c>
      <c r="H50" s="13">
        <f t="shared" si="0"/>
        <v>7.7036228702350856E-3</v>
      </c>
      <c r="I50" s="13">
        <f t="shared" si="1"/>
        <v>4.7783815028900863E-3</v>
      </c>
      <c r="J50" s="13">
        <f t="shared" si="2"/>
        <v>-4.0421762782219392E-3</v>
      </c>
    </row>
    <row r="51" spans="1:10" x14ac:dyDescent="0.25">
      <c r="A51" s="2">
        <v>44301</v>
      </c>
      <c r="B51" s="1">
        <v>415.86999500000002</v>
      </c>
      <c r="C51">
        <v>1765.400024</v>
      </c>
      <c r="D51">
        <v>259.5</v>
      </c>
      <c r="E51" s="35">
        <v>94.010002</v>
      </c>
      <c r="G51" s="13">
        <f t="shared" si="3"/>
        <v>1.0742454419955156E-2</v>
      </c>
      <c r="H51" s="13">
        <f t="shared" si="0"/>
        <v>1.7580263748961711E-2</v>
      </c>
      <c r="I51" s="13">
        <f t="shared" si="1"/>
        <v>1.5297953993473149E-2</v>
      </c>
      <c r="J51" s="13">
        <f t="shared" si="2"/>
        <v>4.0585817812212148E-3</v>
      </c>
    </row>
    <row r="52" spans="1:10" x14ac:dyDescent="0.25">
      <c r="A52" s="2">
        <v>44300</v>
      </c>
      <c r="B52" s="1">
        <v>411.45001200000002</v>
      </c>
      <c r="C52">
        <v>1734.900024</v>
      </c>
      <c r="D52">
        <v>255.58999600000001</v>
      </c>
      <c r="E52" s="35">
        <v>93.629997000000003</v>
      </c>
      <c r="G52" s="13">
        <f t="shared" si="3"/>
        <v>-3.4151360054910131E-3</v>
      </c>
      <c r="H52" s="13">
        <f t="shared" si="0"/>
        <v>-6.4711529704996685E-3</v>
      </c>
      <c r="I52" s="13">
        <f t="shared" si="1"/>
        <v>-1.1218979891638992E-2</v>
      </c>
      <c r="J52" s="13">
        <f t="shared" si="2"/>
        <v>-6.404632161284814E-4</v>
      </c>
    </row>
    <row r="53" spans="1:10" x14ac:dyDescent="0.25">
      <c r="A53" s="2">
        <v>44299</v>
      </c>
      <c r="B53" s="1">
        <v>412.85998499999999</v>
      </c>
      <c r="C53">
        <v>1746.1999510000001</v>
      </c>
      <c r="D53">
        <v>258.48998999999998</v>
      </c>
      <c r="E53" s="35">
        <v>93.690002000000007</v>
      </c>
      <c r="G53" s="13">
        <f t="shared" si="3"/>
        <v>2.9636817499386916E-3</v>
      </c>
      <c r="H53" s="13">
        <f t="shared" si="0"/>
        <v>8.6645104115994735E-3</v>
      </c>
      <c r="I53" s="13">
        <f t="shared" si="1"/>
        <v>1.008161447256275E-2</v>
      </c>
      <c r="J53" s="13">
        <f t="shared" si="2"/>
        <v>3.5347150435442905E-3</v>
      </c>
    </row>
    <row r="54" spans="1:10" x14ac:dyDescent="0.25">
      <c r="A54" s="2">
        <v>44298</v>
      </c>
      <c r="B54" s="1">
        <v>411.64001500000001</v>
      </c>
      <c r="C54">
        <v>1731.1999510000001</v>
      </c>
      <c r="D54">
        <v>255.91000399999999</v>
      </c>
      <c r="E54" s="35">
        <v>93.360000999999997</v>
      </c>
      <c r="G54" s="13">
        <f t="shared" si="3"/>
        <v>3.645896708204927E-4</v>
      </c>
      <c r="H54" s="13">
        <f t="shared" si="0"/>
        <v>-6.940915309983961E-3</v>
      </c>
      <c r="I54" s="13">
        <f t="shared" si="1"/>
        <v>2.3450458703518225E-4</v>
      </c>
      <c r="J54" s="13">
        <f t="shared" si="2"/>
        <v>-8.5617506729088015E-4</v>
      </c>
    </row>
    <row r="55" spans="1:10" x14ac:dyDescent="0.25">
      <c r="A55" s="2">
        <v>44295</v>
      </c>
      <c r="B55" s="1">
        <v>411.48998999999998</v>
      </c>
      <c r="C55">
        <v>1743.3000489999999</v>
      </c>
      <c r="D55">
        <v>255.85000600000001</v>
      </c>
      <c r="E55" s="35">
        <v>93.440002000000007</v>
      </c>
      <c r="G55" s="13">
        <f t="shared" si="3"/>
        <v>7.2701485361098645E-3</v>
      </c>
      <c r="H55" s="13">
        <f t="shared" si="0"/>
        <v>-7.6844260151770977E-3</v>
      </c>
      <c r="I55" s="13">
        <f t="shared" si="1"/>
        <v>1.0266558736426486E-2</v>
      </c>
      <c r="J55" s="13">
        <f t="shared" si="2"/>
        <v>-1.175852447594223E-3</v>
      </c>
    </row>
    <row r="56" spans="1:10" x14ac:dyDescent="0.25">
      <c r="A56" s="2">
        <v>44294</v>
      </c>
      <c r="B56" s="1">
        <v>408.51998900000001</v>
      </c>
      <c r="C56">
        <v>1756.8000489999999</v>
      </c>
      <c r="D56">
        <v>253.25</v>
      </c>
      <c r="E56" s="35">
        <v>93.550003000000004</v>
      </c>
      <c r="G56" s="13">
        <f t="shared" si="3"/>
        <v>4.7467793575521828E-3</v>
      </c>
      <c r="H56" s="13">
        <f t="shared" si="0"/>
        <v>9.5971916730834862E-3</v>
      </c>
      <c r="I56" s="13">
        <f t="shared" si="1"/>
        <v>1.3405386476319834E-2</v>
      </c>
      <c r="J56" s="13">
        <f t="shared" si="2"/>
        <v>3.0021015225292673E-3</v>
      </c>
    </row>
    <row r="57" spans="1:10" x14ac:dyDescent="0.25">
      <c r="A57" s="2">
        <v>44293</v>
      </c>
      <c r="B57" s="1">
        <v>406.58999599999999</v>
      </c>
      <c r="C57">
        <v>1740.099976</v>
      </c>
      <c r="D57">
        <v>249.89999399999999</v>
      </c>
      <c r="E57" s="35">
        <v>93.269997000000004</v>
      </c>
      <c r="G57" s="13">
        <f t="shared" si="3"/>
        <v>1.1572958873890657E-3</v>
      </c>
      <c r="H57" s="13">
        <f t="shared" si="0"/>
        <v>-8.0391846109677311E-4</v>
      </c>
      <c r="I57" s="13">
        <f t="shared" si="1"/>
        <v>8.2304243999417291E-3</v>
      </c>
      <c r="J57" s="13">
        <f t="shared" si="2"/>
        <v>1.0717349116080362E-4</v>
      </c>
    </row>
    <row r="58" spans="1:10" x14ac:dyDescent="0.25">
      <c r="A58" s="2">
        <v>44292</v>
      </c>
      <c r="B58" s="1">
        <v>406.11999500000002</v>
      </c>
      <c r="C58">
        <v>1741.5</v>
      </c>
      <c r="D58">
        <v>247.86000100000001</v>
      </c>
      <c r="E58" s="35">
        <v>93.260002</v>
      </c>
      <c r="G58" s="13">
        <f t="shared" si="3"/>
        <v>-5.9058472501906779E-4</v>
      </c>
      <c r="H58" s="13">
        <f t="shared" si="0"/>
        <v>8.3960625361899251E-3</v>
      </c>
      <c r="I58" s="13">
        <f t="shared" si="1"/>
        <v>-4.8580959810226882E-3</v>
      </c>
      <c r="J58" s="13">
        <f t="shared" si="2"/>
        <v>4.6321231362249334E-3</v>
      </c>
    </row>
    <row r="59" spans="1:10" x14ac:dyDescent="0.25">
      <c r="A59" s="2">
        <v>44291</v>
      </c>
      <c r="B59" s="1">
        <v>406.35998499999999</v>
      </c>
      <c r="C59">
        <v>1727</v>
      </c>
      <c r="D59">
        <v>249.070007</v>
      </c>
      <c r="E59" s="35">
        <v>92.830001999999993</v>
      </c>
      <c r="G59" s="13">
        <f t="shared" si="3"/>
        <v>1.4353112042377077E-2</v>
      </c>
      <c r="H59" s="13">
        <f t="shared" si="0"/>
        <v>2.8960324355632781E-4</v>
      </c>
      <c r="I59" s="13">
        <f t="shared" si="1"/>
        <v>2.7728495290402413E-2</v>
      </c>
      <c r="J59" s="13">
        <f t="shared" si="2"/>
        <v>-3.3282907808492657E-3</v>
      </c>
    </row>
    <row r="60" spans="1:10" x14ac:dyDescent="0.25">
      <c r="A60" s="2">
        <v>44287</v>
      </c>
      <c r="B60" s="1">
        <v>400.60998499999999</v>
      </c>
      <c r="C60">
        <v>1726.5</v>
      </c>
      <c r="D60">
        <v>242.35000600000001</v>
      </c>
      <c r="E60" s="35">
        <v>93.139999000000003</v>
      </c>
      <c r="G60" s="13">
        <f t="shared" si="3"/>
        <v>1.0799076881356387E-2</v>
      </c>
      <c r="H60" s="13">
        <f t="shared" si="0"/>
        <v>7.4104041526959112E-3</v>
      </c>
      <c r="I60" s="13">
        <f t="shared" si="1"/>
        <v>2.7908562956973981E-2</v>
      </c>
      <c r="J60" s="13">
        <f t="shared" si="2"/>
        <v>1.1824142876750909E-3</v>
      </c>
    </row>
    <row r="61" spans="1:10" x14ac:dyDescent="0.25">
      <c r="A61" s="2">
        <v>44286</v>
      </c>
      <c r="B61" s="1">
        <v>396.32998700000002</v>
      </c>
      <c r="C61">
        <v>1713.8000489999999</v>
      </c>
      <c r="D61">
        <v>235.770004</v>
      </c>
      <c r="E61" s="35">
        <v>93.029999000000004</v>
      </c>
      <c r="G61" s="13">
        <f t="shared" si="3"/>
        <v>4.0533426783200084E-3</v>
      </c>
      <c r="H61" s="13">
        <f t="shared" si="0"/>
        <v>1.7756413429447112E-2</v>
      </c>
      <c r="I61" s="13">
        <f t="shared" si="1"/>
        <v>1.6907474222795545E-2</v>
      </c>
      <c r="J61" s="13">
        <f t="shared" si="2"/>
        <v>1.291518618382612E-3</v>
      </c>
    </row>
    <row r="62" spans="1:10" x14ac:dyDescent="0.25">
      <c r="A62" s="2">
        <v>44285</v>
      </c>
      <c r="B62" s="1">
        <v>394.73001099999999</v>
      </c>
      <c r="C62">
        <v>1683.900024</v>
      </c>
      <c r="D62">
        <v>231.85000600000001</v>
      </c>
      <c r="E62" s="35">
        <v>92.910004000000001</v>
      </c>
      <c r="G62" s="13">
        <f t="shared" si="3"/>
        <v>-2.65295872114039E-3</v>
      </c>
      <c r="H62" s="13">
        <f t="shared" si="0"/>
        <v>-1.6470972720812618E-2</v>
      </c>
      <c r="I62" s="13">
        <f t="shared" si="1"/>
        <v>-1.4410809930054154E-2</v>
      </c>
      <c r="J62" s="13">
        <f t="shared" si="2"/>
        <v>8.6181189568440878E-4</v>
      </c>
    </row>
    <row r="63" spans="1:10" x14ac:dyDescent="0.25">
      <c r="A63" s="2">
        <v>44284</v>
      </c>
      <c r="B63" s="1">
        <v>395.77999899999998</v>
      </c>
      <c r="C63">
        <v>1712.099976</v>
      </c>
      <c r="D63">
        <v>235.240005</v>
      </c>
      <c r="E63" s="35">
        <v>92.830001999999993</v>
      </c>
      <c r="G63" s="13">
        <f t="shared" si="3"/>
        <v>-5.0510630446953342E-4</v>
      </c>
      <c r="H63" s="13">
        <f t="shared" si="0"/>
        <v>-1.1603726803245987E-2</v>
      </c>
      <c r="I63" s="13">
        <f t="shared" si="1"/>
        <v>-5.2435344256348999E-3</v>
      </c>
      <c r="J63" s="13">
        <f t="shared" si="2"/>
        <v>-1.8279354838710404E-3</v>
      </c>
    </row>
    <row r="64" spans="1:10" x14ac:dyDescent="0.25">
      <c r="A64" s="2">
        <v>44281</v>
      </c>
      <c r="B64" s="1">
        <v>395.98001099999999</v>
      </c>
      <c r="C64">
        <v>1732.1999510000001</v>
      </c>
      <c r="D64">
        <v>236.479996</v>
      </c>
      <c r="E64" s="35">
        <v>93</v>
      </c>
      <c r="G64" s="13">
        <f t="shared" si="3"/>
        <v>1.6114957163511648E-2</v>
      </c>
      <c r="H64" s="13">
        <f t="shared" si="0"/>
        <v>4.23208701862713E-3</v>
      </c>
      <c r="I64" s="13">
        <f t="shared" si="1"/>
        <v>1.7818714260458134E-2</v>
      </c>
      <c r="J64" s="13">
        <f t="shared" si="2"/>
        <v>-1.6103273943032298E-3</v>
      </c>
    </row>
    <row r="65" spans="1:10" x14ac:dyDescent="0.25">
      <c r="A65" s="2">
        <v>44280</v>
      </c>
      <c r="B65" s="1">
        <v>389.70001200000002</v>
      </c>
      <c r="C65">
        <v>1724.900024</v>
      </c>
      <c r="D65">
        <v>232.33999600000001</v>
      </c>
      <c r="E65" s="35">
        <v>93.150002000000001</v>
      </c>
      <c r="G65" s="13">
        <f t="shared" si="3"/>
        <v>5.6255756138556389E-3</v>
      </c>
      <c r="H65" s="13">
        <f t="shared" si="0"/>
        <v>-4.6165386861348441E-3</v>
      </c>
      <c r="I65" s="13">
        <f t="shared" si="1"/>
        <v>-1.3250704609042065E-2</v>
      </c>
      <c r="J65" s="13">
        <f t="shared" si="2"/>
        <v>-1.0736367078730552E-4</v>
      </c>
    </row>
    <row r="66" spans="1:10" x14ac:dyDescent="0.25">
      <c r="A66" s="2">
        <v>44279</v>
      </c>
      <c r="B66" s="1">
        <v>387.51998900000001</v>
      </c>
      <c r="C66">
        <v>1732.900024</v>
      </c>
      <c r="D66">
        <v>235.46000699999999</v>
      </c>
      <c r="E66" s="35">
        <v>93.160004000000001</v>
      </c>
      <c r="G66" s="13">
        <f t="shared" si="3"/>
        <v>-5.0834685494223113E-3</v>
      </c>
      <c r="H66" s="13">
        <f t="shared" ref="H66:H129" si="4">(C66-C67)/C67</f>
        <v>4.7544925105642184E-3</v>
      </c>
      <c r="I66" s="13">
        <f t="shared" ref="I66:I129" si="5">(D66-D67)/D67</f>
        <v>-8.9232889222722427E-3</v>
      </c>
      <c r="J66" s="13">
        <f t="shared" ref="J66:J129" si="6">(E66-E67)/E67</f>
        <v>1.6127512823835939E-3</v>
      </c>
    </row>
    <row r="67" spans="1:10" x14ac:dyDescent="0.25">
      <c r="A67" s="2">
        <v>44278</v>
      </c>
      <c r="B67" s="1">
        <v>389.5</v>
      </c>
      <c r="C67">
        <v>1724.6999510000001</v>
      </c>
      <c r="D67">
        <v>237.58000200000001</v>
      </c>
      <c r="E67" s="35">
        <v>93.010002</v>
      </c>
      <c r="G67" s="13">
        <f t="shared" ref="G67:G130" si="7">(B67-B68)/B68</f>
        <v>-7.8707965854534542E-3</v>
      </c>
      <c r="H67" s="13">
        <f t="shared" si="4"/>
        <v>-7.5383229546680079E-3</v>
      </c>
      <c r="I67" s="13">
        <f t="shared" si="5"/>
        <v>6.7375607708470998E-3</v>
      </c>
      <c r="J67" s="13">
        <f t="shared" si="6"/>
        <v>2.0469941822883744E-3</v>
      </c>
    </row>
    <row r="68" spans="1:10" x14ac:dyDescent="0.25">
      <c r="A68" s="2">
        <v>44277</v>
      </c>
      <c r="B68" s="1">
        <v>392.58999599999999</v>
      </c>
      <c r="C68">
        <v>1737.8000489999999</v>
      </c>
      <c r="D68">
        <v>235.990005</v>
      </c>
      <c r="E68" s="35">
        <v>92.82</v>
      </c>
      <c r="G68" s="13">
        <f t="shared" si="7"/>
        <v>7.9849669101503505E-3</v>
      </c>
      <c r="H68" s="13">
        <f t="shared" si="4"/>
        <v>-2.0672877859108643E-3</v>
      </c>
      <c r="I68" s="13">
        <f t="shared" si="5"/>
        <v>2.4484475159944161E-2</v>
      </c>
      <c r="J68" s="13">
        <f t="shared" si="6"/>
        <v>2.159328368840543E-3</v>
      </c>
    </row>
    <row r="69" spans="1:10" x14ac:dyDescent="0.25">
      <c r="A69" s="2">
        <v>44274</v>
      </c>
      <c r="B69" s="1">
        <v>389.48001099999999</v>
      </c>
      <c r="C69">
        <v>1741.400024</v>
      </c>
      <c r="D69">
        <v>230.35000600000001</v>
      </c>
      <c r="E69" s="35">
        <v>92.620002999999997</v>
      </c>
      <c r="G69" s="13">
        <f t="shared" si="7"/>
        <v>-5.1088176760064512E-3</v>
      </c>
      <c r="H69" s="13">
        <f t="shared" si="4"/>
        <v>5.3112072856766725E-3</v>
      </c>
      <c r="I69" s="13">
        <f t="shared" si="5"/>
        <v>-1.6036537725222563E-3</v>
      </c>
      <c r="J69" s="13">
        <f t="shared" si="6"/>
        <v>-6.4735649546838418E-4</v>
      </c>
    </row>
    <row r="70" spans="1:10" x14ac:dyDescent="0.25">
      <c r="A70" s="2">
        <v>44273</v>
      </c>
      <c r="B70" s="1">
        <v>391.48001099999999</v>
      </c>
      <c r="C70">
        <v>1732.1999510000001</v>
      </c>
      <c r="D70">
        <v>230.720001</v>
      </c>
      <c r="E70" s="35">
        <v>92.68</v>
      </c>
      <c r="G70" s="13">
        <f t="shared" si="7"/>
        <v>-1.4549662323172251E-2</v>
      </c>
      <c r="H70" s="13">
        <f t="shared" si="4"/>
        <v>3.1271148058672027E-3</v>
      </c>
      <c r="I70" s="13">
        <f t="shared" si="5"/>
        <v>-2.6662133760694186E-2</v>
      </c>
      <c r="J70" s="13">
        <f t="shared" si="6"/>
        <v>-5.5793671323829484E-3</v>
      </c>
    </row>
    <row r="71" spans="1:10" x14ac:dyDescent="0.25">
      <c r="A71" s="2">
        <v>44272</v>
      </c>
      <c r="B71" s="1">
        <v>397.26001000000002</v>
      </c>
      <c r="C71">
        <v>1726.8000489999999</v>
      </c>
      <c r="D71">
        <v>237.03999300000001</v>
      </c>
      <c r="E71" s="35">
        <v>93.199996999999996</v>
      </c>
      <c r="G71" s="13">
        <f t="shared" si="7"/>
        <v>3.4098809991171819E-3</v>
      </c>
      <c r="H71" s="13">
        <f t="shared" si="4"/>
        <v>-2.1957281016396044E-3</v>
      </c>
      <c r="I71" s="13">
        <f t="shared" si="5"/>
        <v>-2.8186192430677964E-3</v>
      </c>
      <c r="J71" s="13">
        <f t="shared" si="6"/>
        <v>1.6119720060620783E-3</v>
      </c>
    </row>
    <row r="72" spans="1:10" x14ac:dyDescent="0.25">
      <c r="A72" s="2">
        <v>44271</v>
      </c>
      <c r="B72" s="1">
        <v>395.91000400000001</v>
      </c>
      <c r="C72">
        <v>1730.599976</v>
      </c>
      <c r="D72">
        <v>237.71000699999999</v>
      </c>
      <c r="E72" s="35">
        <v>93.050003000000004</v>
      </c>
      <c r="G72" s="13">
        <f t="shared" si="7"/>
        <v>-1.261320337415097E-3</v>
      </c>
      <c r="H72" s="13">
        <f t="shared" si="4"/>
        <v>9.8325639215789563E-4</v>
      </c>
      <c r="I72" s="13">
        <f t="shared" si="5"/>
        <v>1.2350449404628771E-2</v>
      </c>
      <c r="J72" s="13">
        <f t="shared" si="6"/>
        <v>0</v>
      </c>
    </row>
    <row r="73" spans="1:10" x14ac:dyDescent="0.25">
      <c r="A73" s="2">
        <v>44270</v>
      </c>
      <c r="B73" s="1">
        <v>396.41000400000001</v>
      </c>
      <c r="C73">
        <v>1728.900024</v>
      </c>
      <c r="D73">
        <v>234.80999800000001</v>
      </c>
      <c r="E73" s="35">
        <v>93.050003000000004</v>
      </c>
      <c r="G73" s="13">
        <f t="shared" si="7"/>
        <v>5.9635741052813168E-3</v>
      </c>
      <c r="H73" s="13">
        <f t="shared" si="4"/>
        <v>5.4667193951730333E-3</v>
      </c>
      <c r="I73" s="13">
        <f t="shared" si="5"/>
        <v>-3.9872831389183147E-3</v>
      </c>
      <c r="J73" s="13">
        <f t="shared" si="6"/>
        <v>1.2913268051221022E-3</v>
      </c>
    </row>
    <row r="74" spans="1:10" x14ac:dyDescent="0.25">
      <c r="A74" s="2">
        <v>44267</v>
      </c>
      <c r="B74" s="1">
        <v>394.05999800000001</v>
      </c>
      <c r="C74">
        <v>1719.5</v>
      </c>
      <c r="D74">
        <v>235.75</v>
      </c>
      <c r="E74" s="35">
        <v>92.93</v>
      </c>
      <c r="G74" s="13">
        <f t="shared" si="7"/>
        <v>1.3467816973212049E-3</v>
      </c>
      <c r="H74" s="13">
        <f t="shared" si="4"/>
        <v>-1.6257614354860559E-3</v>
      </c>
      <c r="I74" s="13">
        <f t="shared" si="5"/>
        <v>-5.81961359128724E-3</v>
      </c>
      <c r="J74" s="13">
        <f t="shared" si="6"/>
        <v>-6.202566437759174E-3</v>
      </c>
    </row>
    <row r="75" spans="1:10" x14ac:dyDescent="0.25">
      <c r="A75" s="2">
        <v>44266</v>
      </c>
      <c r="B75" s="1">
        <v>393.52999899999998</v>
      </c>
      <c r="C75">
        <v>1722.3000489999999</v>
      </c>
      <c r="D75">
        <v>237.13000500000001</v>
      </c>
      <c r="E75" s="35">
        <v>93.510002</v>
      </c>
      <c r="G75" s="13">
        <f t="shared" si="7"/>
        <v>1.0139155325758452E-2</v>
      </c>
      <c r="H75" s="13">
        <f t="shared" si="4"/>
        <v>4.6473947139119635E-4</v>
      </c>
      <c r="I75" s="13">
        <f t="shared" si="5"/>
        <v>2.0265067724508021E-2</v>
      </c>
      <c r="J75" s="13">
        <f t="shared" si="6"/>
        <v>1.1777301675004186E-3</v>
      </c>
    </row>
    <row r="76" spans="1:10" x14ac:dyDescent="0.25">
      <c r="A76" s="2">
        <v>44265</v>
      </c>
      <c r="B76" s="1">
        <v>389.57998700000002</v>
      </c>
      <c r="C76">
        <v>1721.5</v>
      </c>
      <c r="D76">
        <v>232.41999799999999</v>
      </c>
      <c r="E76" s="35">
        <v>93.400002000000001</v>
      </c>
      <c r="G76" s="13">
        <f t="shared" si="7"/>
        <v>6.224588472971521E-3</v>
      </c>
      <c r="H76" s="13">
        <f t="shared" si="4"/>
        <v>2.854493806657277E-3</v>
      </c>
      <c r="I76" s="13">
        <f t="shared" si="5"/>
        <v>-5.8174394978931076E-3</v>
      </c>
      <c r="J76" s="13">
        <f t="shared" si="6"/>
        <v>3.5457397657677821E-3</v>
      </c>
    </row>
    <row r="77" spans="1:10" x14ac:dyDescent="0.25">
      <c r="A77" s="2">
        <v>44264</v>
      </c>
      <c r="B77" s="1">
        <v>387.17001299999998</v>
      </c>
      <c r="C77">
        <v>1716.599976</v>
      </c>
      <c r="D77">
        <v>233.779999</v>
      </c>
      <c r="E77" s="35">
        <v>93.07</v>
      </c>
      <c r="G77" s="13">
        <f t="shared" si="7"/>
        <v>1.4277512275286718E-2</v>
      </c>
      <c r="H77" s="13">
        <f t="shared" si="4"/>
        <v>2.3186520913238026E-2</v>
      </c>
      <c r="I77" s="13">
        <f t="shared" si="5"/>
        <v>2.8101499749775782E-2</v>
      </c>
      <c r="J77" s="13">
        <f t="shared" si="6"/>
        <v>4.2080276219247552E-3</v>
      </c>
    </row>
    <row r="78" spans="1:10" x14ac:dyDescent="0.25">
      <c r="A78" s="2">
        <v>44263</v>
      </c>
      <c r="B78" s="1">
        <v>381.72000100000002</v>
      </c>
      <c r="C78">
        <v>1677.6999510000001</v>
      </c>
      <c r="D78">
        <v>227.38999899999999</v>
      </c>
      <c r="E78" s="35">
        <v>92.68</v>
      </c>
      <c r="G78" s="13">
        <f t="shared" si="7"/>
        <v>-4.9787659335978115E-3</v>
      </c>
      <c r="H78" s="13">
        <f t="shared" si="4"/>
        <v>-1.1955270318021169E-2</v>
      </c>
      <c r="I78" s="13">
        <f t="shared" si="5"/>
        <v>-1.8177922672420046E-2</v>
      </c>
      <c r="J78" s="13">
        <f t="shared" si="6"/>
        <v>-7.708800691460304E-3</v>
      </c>
    </row>
    <row r="79" spans="1:10" x14ac:dyDescent="0.25">
      <c r="A79" s="2">
        <v>44260</v>
      </c>
      <c r="B79" s="1">
        <v>383.63000499999998</v>
      </c>
      <c r="C79">
        <v>1698</v>
      </c>
      <c r="D79">
        <v>231.60000600000001</v>
      </c>
      <c r="E79" s="35">
        <v>93.400002000000001</v>
      </c>
      <c r="G79" s="13">
        <f t="shared" si="7"/>
        <v>1.8396582902152833E-2</v>
      </c>
      <c r="H79" s="13">
        <f t="shared" si="4"/>
        <v>-1.2939366329860901E-3</v>
      </c>
      <c r="I79" s="13">
        <f t="shared" si="5"/>
        <v>2.1479337034875649E-2</v>
      </c>
      <c r="J79" s="13">
        <f t="shared" si="6"/>
        <v>-2.776019526969058E-3</v>
      </c>
    </row>
    <row r="80" spans="1:10" x14ac:dyDescent="0.25">
      <c r="A80" s="2">
        <v>44259</v>
      </c>
      <c r="B80" s="1">
        <v>376.70001200000002</v>
      </c>
      <c r="C80">
        <v>1700.1999510000001</v>
      </c>
      <c r="D80">
        <v>226.729996</v>
      </c>
      <c r="E80" s="35">
        <v>93.660004000000001</v>
      </c>
      <c r="G80" s="13">
        <f t="shared" si="7"/>
        <v>-1.2374812120831132E-2</v>
      </c>
      <c r="H80" s="13">
        <f t="shared" si="4"/>
        <v>-8.8031816992036292E-3</v>
      </c>
      <c r="I80" s="13">
        <f t="shared" si="5"/>
        <v>-3.6473985203673955E-3</v>
      </c>
      <c r="J80" s="13">
        <f t="shared" si="6"/>
        <v>-5.4156738964782182E-3</v>
      </c>
    </row>
    <row r="81" spans="1:10" x14ac:dyDescent="0.25">
      <c r="A81" s="2">
        <v>44258</v>
      </c>
      <c r="B81" s="1">
        <v>381.42001299999998</v>
      </c>
      <c r="C81">
        <v>1715.3000489999999</v>
      </c>
      <c r="D81">
        <v>227.55999800000001</v>
      </c>
      <c r="E81" s="35">
        <v>94.169998000000007</v>
      </c>
      <c r="G81" s="13">
        <f t="shared" si="7"/>
        <v>-1.3245707768377515E-2</v>
      </c>
      <c r="H81" s="13">
        <f t="shared" si="4"/>
        <v>-1.0270571372969672E-2</v>
      </c>
      <c r="I81" s="13">
        <f t="shared" si="5"/>
        <v>-2.6980789049061132E-2</v>
      </c>
      <c r="J81" s="13">
        <f t="shared" si="6"/>
        <v>-4.9661982773266545E-3</v>
      </c>
    </row>
    <row r="82" spans="1:10" x14ac:dyDescent="0.25">
      <c r="A82" s="2">
        <v>44257</v>
      </c>
      <c r="B82" s="1">
        <v>386.540009</v>
      </c>
      <c r="C82">
        <v>1733.099976</v>
      </c>
      <c r="D82">
        <v>233.86999499999999</v>
      </c>
      <c r="E82" s="35">
        <v>94.639999000000003</v>
      </c>
      <c r="G82" s="13">
        <f t="shared" si="7"/>
        <v>-7.8032191114581536E-3</v>
      </c>
      <c r="H82" s="13">
        <f t="shared" si="4"/>
        <v>6.1538322206095616E-3</v>
      </c>
      <c r="I82" s="13">
        <f t="shared" si="5"/>
        <v>-1.2956896151288139E-2</v>
      </c>
      <c r="J82" s="13">
        <f t="shared" si="6"/>
        <v>-2.1133529637287578E-4</v>
      </c>
    </row>
    <row r="83" spans="1:10" x14ac:dyDescent="0.25">
      <c r="A83" s="2">
        <v>44256</v>
      </c>
      <c r="B83" s="1">
        <v>389.57998700000002</v>
      </c>
      <c r="C83">
        <v>1722.5</v>
      </c>
      <c r="D83">
        <v>236.94000199999999</v>
      </c>
      <c r="E83" s="35">
        <v>94.660004000000001</v>
      </c>
      <c r="G83" s="13">
        <f t="shared" si="7"/>
        <v>2.424019971501477E-2</v>
      </c>
      <c r="H83" s="13">
        <f t="shared" si="4"/>
        <v>-3.2405393656460358E-3</v>
      </c>
      <c r="I83" s="13">
        <f t="shared" si="5"/>
        <v>1.9623017909823959E-2</v>
      </c>
      <c r="J83" s="13">
        <f t="shared" si="6"/>
        <v>8.4586591571448114E-4</v>
      </c>
    </row>
    <row r="84" spans="1:10" x14ac:dyDescent="0.25">
      <c r="A84" s="2">
        <v>44253</v>
      </c>
      <c r="B84" s="1">
        <v>380.35998499999999</v>
      </c>
      <c r="C84">
        <v>1728.099976</v>
      </c>
      <c r="D84">
        <v>232.38000500000001</v>
      </c>
      <c r="E84" s="35">
        <v>94.580001999999993</v>
      </c>
      <c r="G84" s="13">
        <f t="shared" si="7"/>
        <v>-5.1526222556014739E-3</v>
      </c>
      <c r="H84" s="13">
        <f t="shared" si="4"/>
        <v>-2.6093354020378472E-2</v>
      </c>
      <c r="I84" s="13">
        <f t="shared" si="5"/>
        <v>1.4804139595525206E-2</v>
      </c>
      <c r="J84" s="13">
        <f t="shared" si="6"/>
        <v>6.9200681358456972E-3</v>
      </c>
    </row>
    <row r="85" spans="1:10" x14ac:dyDescent="0.25">
      <c r="A85" s="2">
        <v>44252</v>
      </c>
      <c r="B85" s="1">
        <v>382.32998700000002</v>
      </c>
      <c r="C85">
        <v>1774.400024</v>
      </c>
      <c r="D85">
        <v>228.990005</v>
      </c>
      <c r="E85" s="35">
        <v>93.93</v>
      </c>
      <c r="G85" s="13">
        <f t="shared" si="7"/>
        <v>-2.4095776259166174E-2</v>
      </c>
      <c r="H85" s="13">
        <f t="shared" si="4"/>
        <v>-1.2246715489912506E-2</v>
      </c>
      <c r="I85" s="13">
        <f t="shared" si="5"/>
        <v>-2.3704958127841111E-2</v>
      </c>
      <c r="J85" s="13">
        <f t="shared" si="6"/>
        <v>-1.4479047623104414E-2</v>
      </c>
    </row>
    <row r="86" spans="1:10" x14ac:dyDescent="0.25">
      <c r="A86" s="2">
        <v>44251</v>
      </c>
      <c r="B86" s="1">
        <v>391.76998900000001</v>
      </c>
      <c r="C86">
        <v>1796.400024</v>
      </c>
      <c r="D86">
        <v>234.550003</v>
      </c>
      <c r="E86" s="35">
        <v>95.309997999999993</v>
      </c>
      <c r="G86" s="13">
        <f t="shared" si="7"/>
        <v>1.1019326451612929E-2</v>
      </c>
      <c r="H86" s="13">
        <f t="shared" si="4"/>
        <v>-4.4336066801116377E-3</v>
      </c>
      <c r="I86" s="13">
        <f t="shared" si="5"/>
        <v>5.4871992885977905E-3</v>
      </c>
      <c r="J86" s="13">
        <f t="shared" si="6"/>
        <v>6.299002624671193E-4</v>
      </c>
    </row>
    <row r="87" spans="1:10" x14ac:dyDescent="0.25">
      <c r="A87" s="2">
        <v>44250</v>
      </c>
      <c r="B87" s="1">
        <v>387.5</v>
      </c>
      <c r="C87">
        <v>1804.400024</v>
      </c>
      <c r="D87">
        <v>233.270004</v>
      </c>
      <c r="E87" s="35">
        <v>95.25</v>
      </c>
      <c r="G87" s="13">
        <f t="shared" si="7"/>
        <v>1.2143787334687325E-3</v>
      </c>
      <c r="H87" s="13">
        <f t="shared" si="4"/>
        <v>-1.2729988721851828E-3</v>
      </c>
      <c r="I87" s="13">
        <f t="shared" si="5"/>
        <v>-5.287582731814921E-3</v>
      </c>
      <c r="J87" s="13">
        <f t="shared" si="6"/>
        <v>1.3666631192179738E-3</v>
      </c>
    </row>
    <row r="88" spans="1:10" x14ac:dyDescent="0.25">
      <c r="A88" s="2">
        <v>44249</v>
      </c>
      <c r="B88" s="1">
        <v>387.02999899999998</v>
      </c>
      <c r="C88">
        <v>1806.6999510000001</v>
      </c>
      <c r="D88">
        <v>234.509995</v>
      </c>
      <c r="E88" s="35">
        <v>95.120002999999997</v>
      </c>
      <c r="G88" s="13">
        <f t="shared" si="7"/>
        <v>-7.6917160415653062E-3</v>
      </c>
      <c r="H88" s="13">
        <f t="shared" si="4"/>
        <v>1.7400552510064782E-2</v>
      </c>
      <c r="I88" s="13">
        <f t="shared" si="5"/>
        <v>-2.6808341176045365E-2</v>
      </c>
      <c r="J88" s="13">
        <f t="shared" si="6"/>
        <v>-2.8304434723812723E-3</v>
      </c>
    </row>
    <row r="89" spans="1:10" x14ac:dyDescent="0.25">
      <c r="A89" s="2">
        <v>44246</v>
      </c>
      <c r="B89" s="1">
        <v>390.02999899999998</v>
      </c>
      <c r="C89">
        <v>1775.8000489999999</v>
      </c>
      <c r="D89">
        <v>240.970001</v>
      </c>
      <c r="E89" s="35">
        <v>95.389999000000003</v>
      </c>
      <c r="G89" s="13">
        <f t="shared" si="7"/>
        <v>-1.7659756302059629E-3</v>
      </c>
      <c r="H89" s="13">
        <f t="shared" si="4"/>
        <v>1.3533466603809598E-3</v>
      </c>
      <c r="I89" s="13">
        <f t="shared" si="5"/>
        <v>-1.1567300057307986E-2</v>
      </c>
      <c r="J89" s="13">
        <f t="shared" si="6"/>
        <v>-3.967818856671787E-3</v>
      </c>
    </row>
    <row r="90" spans="1:10" x14ac:dyDescent="0.25">
      <c r="A90" s="2">
        <v>44245</v>
      </c>
      <c r="B90" s="1">
        <v>390.72000100000002</v>
      </c>
      <c r="C90">
        <v>1773.400024</v>
      </c>
      <c r="D90">
        <v>243.78999300000001</v>
      </c>
      <c r="E90" s="35">
        <v>95.769997000000004</v>
      </c>
      <c r="G90" s="13">
        <f t="shared" si="7"/>
        <v>-4.2560053420319082E-3</v>
      </c>
      <c r="H90" s="13">
        <f t="shared" si="4"/>
        <v>1.2986550907163814E-3</v>
      </c>
      <c r="I90" s="13">
        <f t="shared" si="5"/>
        <v>-1.6789680795941471E-3</v>
      </c>
      <c r="J90" s="13">
        <f t="shared" si="6"/>
        <v>-3.1321502150683856E-4</v>
      </c>
    </row>
    <row r="91" spans="1:10" x14ac:dyDescent="0.25">
      <c r="A91" s="2">
        <v>44244</v>
      </c>
      <c r="B91" s="1">
        <v>392.39001500000001</v>
      </c>
      <c r="C91">
        <v>1771.099976</v>
      </c>
      <c r="D91">
        <v>244.199997</v>
      </c>
      <c r="E91" s="35">
        <v>95.800003000000004</v>
      </c>
      <c r="G91" s="13">
        <f t="shared" si="7"/>
        <v>2.2948509496263484E-4</v>
      </c>
      <c r="H91" s="13">
        <f t="shared" si="4"/>
        <v>-1.4522577182064527E-2</v>
      </c>
      <c r="I91" s="13">
        <f t="shared" si="5"/>
        <v>2.0517029386750464E-3</v>
      </c>
      <c r="J91" s="13">
        <f t="shared" si="6"/>
        <v>1.8824513109459622E-3</v>
      </c>
    </row>
    <row r="92" spans="1:10" x14ac:dyDescent="0.25">
      <c r="A92" s="2">
        <v>44243</v>
      </c>
      <c r="B92" s="1">
        <v>392.29998799999998</v>
      </c>
      <c r="C92">
        <v>1797.1999510000001</v>
      </c>
      <c r="D92">
        <v>243.699997</v>
      </c>
      <c r="E92" s="35">
        <v>95.620002999999997</v>
      </c>
      <c r="G92" s="13">
        <f t="shared" si="7"/>
        <v>-8.6600190253156059E-4</v>
      </c>
      <c r="H92" s="13">
        <f t="shared" si="4"/>
        <v>-1.3394831643322285E-2</v>
      </c>
      <c r="I92" s="13">
        <f t="shared" si="5"/>
        <v>-5.2655535886045645E-3</v>
      </c>
      <c r="J92" s="13">
        <f t="shared" si="6"/>
        <v>-5.7189873290837516E-3</v>
      </c>
    </row>
    <row r="93" spans="1:10" x14ac:dyDescent="0.25">
      <c r="A93" s="2">
        <v>44239</v>
      </c>
      <c r="B93" s="1">
        <v>392.64001500000001</v>
      </c>
      <c r="C93">
        <v>1821.599976</v>
      </c>
      <c r="D93">
        <v>244.990005</v>
      </c>
      <c r="E93" s="35">
        <v>96.169998000000007</v>
      </c>
      <c r="G93" s="13">
        <f t="shared" si="7"/>
        <v>4.9397866562362952E-3</v>
      </c>
      <c r="H93" s="13">
        <f t="shared" si="4"/>
        <v>-1.8083445430433403E-3</v>
      </c>
      <c r="I93" s="13">
        <f t="shared" si="5"/>
        <v>2.0450733763124592E-3</v>
      </c>
      <c r="J93" s="13">
        <f t="shared" si="6"/>
        <v>-1.660998615986601E-3</v>
      </c>
    </row>
    <row r="94" spans="1:10" x14ac:dyDescent="0.25">
      <c r="A94" s="2">
        <v>44238</v>
      </c>
      <c r="B94" s="1">
        <v>390.709991</v>
      </c>
      <c r="C94">
        <v>1824.900024</v>
      </c>
      <c r="D94">
        <v>244.490005</v>
      </c>
      <c r="E94" s="35">
        <v>96.330001999999993</v>
      </c>
      <c r="G94" s="13">
        <f t="shared" si="7"/>
        <v>1.6150636305265907E-3</v>
      </c>
      <c r="H94" s="13">
        <f t="shared" si="4"/>
        <v>-8.5298012630203035E-3</v>
      </c>
      <c r="I94" s="13">
        <f t="shared" si="5"/>
        <v>6.8775140097907684E-3</v>
      </c>
      <c r="J94" s="13">
        <f t="shared" si="6"/>
        <v>-7.2614106377308363E-4</v>
      </c>
    </row>
    <row r="95" spans="1:10" x14ac:dyDescent="0.25">
      <c r="A95" s="2">
        <v>44237</v>
      </c>
      <c r="B95" s="1">
        <v>390.07998700000002</v>
      </c>
      <c r="C95">
        <v>1840.599976</v>
      </c>
      <c r="D95">
        <v>242.820007</v>
      </c>
      <c r="E95" s="35">
        <v>96.400002000000001</v>
      </c>
      <c r="G95" s="13">
        <f t="shared" si="7"/>
        <v>-4.3565150544518409E-4</v>
      </c>
      <c r="H95" s="13">
        <f t="shared" si="4"/>
        <v>2.8877714044021285E-3</v>
      </c>
      <c r="I95" s="13">
        <f t="shared" si="5"/>
        <v>-3.8971037634310257E-3</v>
      </c>
      <c r="J95" s="13">
        <f t="shared" si="6"/>
        <v>1.9748778918499354E-3</v>
      </c>
    </row>
    <row r="96" spans="1:10" x14ac:dyDescent="0.25">
      <c r="A96" s="2">
        <v>44236</v>
      </c>
      <c r="B96" s="1">
        <v>390.25</v>
      </c>
      <c r="C96">
        <v>1835.3000489999999</v>
      </c>
      <c r="D96">
        <v>243.770004</v>
      </c>
      <c r="E96" s="35">
        <v>96.209998999999996</v>
      </c>
      <c r="G96" s="13">
        <f t="shared" si="7"/>
        <v>-6.6582160083431018E-4</v>
      </c>
      <c r="H96" s="13">
        <f t="shared" si="4"/>
        <v>1.8560101290767351E-3</v>
      </c>
      <c r="I96" s="13">
        <f t="shared" si="5"/>
        <v>5.3615003696890476E-3</v>
      </c>
      <c r="J96" s="13">
        <f t="shared" si="6"/>
        <v>-6.2322636199944328E-4</v>
      </c>
    </row>
    <row r="97" spans="1:10" x14ac:dyDescent="0.25">
      <c r="A97" s="2">
        <v>44235</v>
      </c>
      <c r="B97" s="1">
        <v>390.51001000000002</v>
      </c>
      <c r="C97">
        <v>1831.900024</v>
      </c>
      <c r="D97">
        <v>242.470001</v>
      </c>
      <c r="E97" s="35">
        <v>96.269997000000004</v>
      </c>
      <c r="G97" s="13">
        <f t="shared" si="7"/>
        <v>7.2219418250689862E-3</v>
      </c>
      <c r="H97" s="13">
        <f t="shared" si="4"/>
        <v>1.1596443603559199E-2</v>
      </c>
      <c r="I97" s="13">
        <f t="shared" si="5"/>
        <v>1.1147977016696667E-3</v>
      </c>
      <c r="J97" s="13">
        <f t="shared" si="6"/>
        <v>9.357142857142521E-4</v>
      </c>
    </row>
    <row r="98" spans="1:10" x14ac:dyDescent="0.25">
      <c r="A98" s="2">
        <v>44232</v>
      </c>
      <c r="B98" s="1">
        <v>387.709991</v>
      </c>
      <c r="C98">
        <v>1810.900024</v>
      </c>
      <c r="D98">
        <v>242.199997</v>
      </c>
      <c r="E98" s="35">
        <v>96.18</v>
      </c>
      <c r="G98" s="13">
        <f t="shared" si="7"/>
        <v>3.9358579769758241E-3</v>
      </c>
      <c r="H98" s="13">
        <f t="shared" si="4"/>
        <v>1.2298060095503693E-2</v>
      </c>
      <c r="I98" s="13">
        <f t="shared" si="5"/>
        <v>7.8509980548527628E-4</v>
      </c>
      <c r="J98" s="13">
        <f t="shared" si="6"/>
        <v>-4.1572437730477181E-4</v>
      </c>
    </row>
    <row r="99" spans="1:10" x14ac:dyDescent="0.25">
      <c r="A99" s="2">
        <v>44231</v>
      </c>
      <c r="B99" s="1">
        <v>386.19000199999999</v>
      </c>
      <c r="C99">
        <v>1788.900024</v>
      </c>
      <c r="D99">
        <v>242.009995</v>
      </c>
      <c r="E99" s="35">
        <v>96.220000999999996</v>
      </c>
      <c r="G99" s="13">
        <f t="shared" si="7"/>
        <v>1.1365708869466366E-2</v>
      </c>
      <c r="H99" s="13">
        <f t="shared" si="4"/>
        <v>-2.3632751969219993E-2</v>
      </c>
      <c r="I99" s="13">
        <f t="shared" si="5"/>
        <v>-4.0740946502057472E-3</v>
      </c>
      <c r="J99" s="13">
        <f t="shared" si="6"/>
        <v>8.321406369059068E-4</v>
      </c>
    </row>
    <row r="100" spans="1:10" x14ac:dyDescent="0.25">
      <c r="A100" s="2">
        <v>44230</v>
      </c>
      <c r="B100" s="1">
        <v>381.85000600000001</v>
      </c>
      <c r="C100">
        <v>1832.1999510000001</v>
      </c>
      <c r="D100">
        <v>243</v>
      </c>
      <c r="E100" s="35">
        <v>96.139999000000003</v>
      </c>
      <c r="G100" s="13">
        <f t="shared" si="7"/>
        <v>7.8631374508134641E-4</v>
      </c>
      <c r="H100" s="13">
        <f t="shared" si="4"/>
        <v>9.286812346353759E-4</v>
      </c>
      <c r="I100" s="13">
        <f t="shared" si="5"/>
        <v>1.4571437822459126E-2</v>
      </c>
      <c r="J100" s="13">
        <f t="shared" si="6"/>
        <v>-5.1983573095261805E-4</v>
      </c>
    </row>
    <row r="101" spans="1:10" x14ac:dyDescent="0.25">
      <c r="A101" s="2">
        <v>44229</v>
      </c>
      <c r="B101" s="1">
        <v>381.54998799999998</v>
      </c>
      <c r="C101">
        <v>1830.5</v>
      </c>
      <c r="D101">
        <v>239.509995</v>
      </c>
      <c r="E101" s="35">
        <v>96.190002000000007</v>
      </c>
      <c r="G101" s="13">
        <f t="shared" si="7"/>
        <v>1.4140224980616962E-2</v>
      </c>
      <c r="H101" s="13">
        <f t="shared" si="4"/>
        <v>-1.6283344906554195E-2</v>
      </c>
      <c r="I101" s="13">
        <f t="shared" si="5"/>
        <v>-5.8418111205956835E-4</v>
      </c>
      <c r="J101" s="13">
        <f t="shared" si="6"/>
        <v>-9.3474242765620268E-4</v>
      </c>
    </row>
    <row r="102" spans="1:10" x14ac:dyDescent="0.25">
      <c r="A102" s="2">
        <v>44228</v>
      </c>
      <c r="B102" s="1">
        <v>376.23001099999999</v>
      </c>
      <c r="C102">
        <v>1860.8000489999999</v>
      </c>
      <c r="D102">
        <v>239.64999399999999</v>
      </c>
      <c r="E102" s="35">
        <v>96.279999000000004</v>
      </c>
      <c r="G102" s="13">
        <f t="shared" si="7"/>
        <v>1.6645509994005041E-2</v>
      </c>
      <c r="H102" s="13">
        <f t="shared" si="4"/>
        <v>7.3079627791424375E-3</v>
      </c>
      <c r="I102" s="13">
        <f t="shared" si="5"/>
        <v>3.3152210587750162E-2</v>
      </c>
      <c r="J102" s="13">
        <f t="shared" si="6"/>
        <v>-1.0387371374105672E-4</v>
      </c>
    </row>
    <row r="103" spans="1:10" x14ac:dyDescent="0.25">
      <c r="A103" s="2">
        <v>44225</v>
      </c>
      <c r="B103" s="1">
        <v>370.07000699999998</v>
      </c>
      <c r="C103">
        <v>1847.3000489999999</v>
      </c>
      <c r="D103">
        <v>231.96000699999999</v>
      </c>
      <c r="E103" s="35">
        <v>96.290001000000004</v>
      </c>
      <c r="G103" s="13">
        <f t="shared" si="7"/>
        <v>-2.0019590339491185E-2</v>
      </c>
      <c r="H103" s="13">
        <f t="shared" si="4"/>
        <v>5.114546426492627E-3</v>
      </c>
      <c r="I103" s="13">
        <f t="shared" si="5"/>
        <v>-2.9171666195963963E-2</v>
      </c>
      <c r="J103" s="13">
        <f t="shared" si="6"/>
        <v>-7.2644249972551563E-4</v>
      </c>
    </row>
    <row r="104" spans="1:10" x14ac:dyDescent="0.25">
      <c r="A104" s="2">
        <v>44224</v>
      </c>
      <c r="B104" s="1">
        <v>377.63000499999998</v>
      </c>
      <c r="C104">
        <v>1837.900024</v>
      </c>
      <c r="D104">
        <v>238.929993</v>
      </c>
      <c r="E104" s="35">
        <v>96.360000999999997</v>
      </c>
      <c r="G104" s="13">
        <f t="shared" si="7"/>
        <v>8.6002002232824087E-3</v>
      </c>
      <c r="H104" s="13">
        <f t="shared" si="4"/>
        <v>-3.7942435410798173E-3</v>
      </c>
      <c r="I104" s="13">
        <f t="shared" si="5"/>
        <v>2.5890936691050338E-2</v>
      </c>
      <c r="J104" s="13">
        <f t="shared" si="6"/>
        <v>-1.5542534130296999E-3</v>
      </c>
    </row>
    <row r="105" spans="1:10" x14ac:dyDescent="0.25">
      <c r="A105" s="2">
        <v>44223</v>
      </c>
      <c r="B105" s="1">
        <v>374.41000400000001</v>
      </c>
      <c r="C105">
        <v>1844.900024</v>
      </c>
      <c r="D105">
        <v>232.89999399999999</v>
      </c>
      <c r="E105" s="35">
        <v>96.510002</v>
      </c>
      <c r="G105" s="13">
        <f t="shared" si="7"/>
        <v>-2.4440461658812966E-2</v>
      </c>
      <c r="H105" s="13">
        <f t="shared" si="4"/>
        <v>-3.1339099549152283E-3</v>
      </c>
      <c r="I105" s="13">
        <f t="shared" si="5"/>
        <v>2.4533723371636907E-3</v>
      </c>
      <c r="J105" s="13">
        <f t="shared" si="6"/>
        <v>-4.1430345683162459E-4</v>
      </c>
    </row>
    <row r="106" spans="1:10" x14ac:dyDescent="0.25">
      <c r="A106" s="2">
        <v>44222</v>
      </c>
      <c r="B106" s="1">
        <v>383.790009</v>
      </c>
      <c r="C106">
        <v>1850.6999510000001</v>
      </c>
      <c r="D106">
        <v>232.33000200000001</v>
      </c>
      <c r="E106" s="35">
        <v>96.550003000000004</v>
      </c>
      <c r="G106" s="13">
        <f t="shared" si="7"/>
        <v>-1.5609302442468689E-3</v>
      </c>
      <c r="H106" s="13">
        <f t="shared" si="4"/>
        <v>-2.2643123325551129E-3</v>
      </c>
      <c r="I106" s="13">
        <f t="shared" si="5"/>
        <v>1.2198854233428563E-2</v>
      </c>
      <c r="J106" s="13">
        <f t="shared" si="6"/>
        <v>4.1447517532953451E-4</v>
      </c>
    </row>
    <row r="107" spans="1:10" x14ac:dyDescent="0.25">
      <c r="A107" s="2">
        <v>44221</v>
      </c>
      <c r="B107" s="1">
        <v>384.39001500000001</v>
      </c>
      <c r="C107">
        <v>1854.900024</v>
      </c>
      <c r="D107">
        <v>229.529999</v>
      </c>
      <c r="E107" s="35">
        <v>96.510002</v>
      </c>
      <c r="G107" s="13">
        <f t="shared" si="7"/>
        <v>3.9438204666760353E-3</v>
      </c>
      <c r="H107" s="13">
        <f t="shared" si="4"/>
        <v>-4.3106483867123038E-4</v>
      </c>
      <c r="I107" s="13">
        <f t="shared" si="5"/>
        <v>1.5844222383415246E-2</v>
      </c>
      <c r="J107" s="13">
        <f t="shared" si="6"/>
        <v>1.972612126245919E-3</v>
      </c>
    </row>
    <row r="108" spans="1:10" x14ac:dyDescent="0.25">
      <c r="A108" s="2">
        <v>44218</v>
      </c>
      <c r="B108" s="1">
        <v>382.88000499999998</v>
      </c>
      <c r="C108">
        <v>1855.6999510000001</v>
      </c>
      <c r="D108">
        <v>225.949997</v>
      </c>
      <c r="E108" s="35">
        <v>96.32</v>
      </c>
      <c r="G108" s="13">
        <f t="shared" si="7"/>
        <v>-3.5394155616129252E-3</v>
      </c>
      <c r="H108" s="13">
        <f t="shared" si="4"/>
        <v>-5.1466776110077129E-3</v>
      </c>
      <c r="I108" s="13">
        <f t="shared" si="5"/>
        <v>4.3561185742271476E-3</v>
      </c>
      <c r="J108" s="13">
        <f t="shared" si="6"/>
        <v>-1.140723841128421E-3</v>
      </c>
    </row>
    <row r="109" spans="1:10" x14ac:dyDescent="0.25">
      <c r="A109" s="2">
        <v>44217</v>
      </c>
      <c r="B109" s="1">
        <v>384.23998999999998</v>
      </c>
      <c r="C109">
        <v>1865.3000489999999</v>
      </c>
      <c r="D109">
        <v>224.970001</v>
      </c>
      <c r="E109" s="35">
        <v>96.43</v>
      </c>
      <c r="G109" s="13">
        <f t="shared" si="7"/>
        <v>9.1165434453920914E-4</v>
      </c>
      <c r="H109" s="13">
        <f t="shared" si="4"/>
        <v>0</v>
      </c>
      <c r="I109" s="13">
        <f t="shared" si="5"/>
        <v>2.8082598343274587E-3</v>
      </c>
      <c r="J109" s="13">
        <f t="shared" si="6"/>
        <v>-7.2538860103619877E-4</v>
      </c>
    </row>
    <row r="110" spans="1:10" x14ac:dyDescent="0.25">
      <c r="A110" s="2">
        <v>44216</v>
      </c>
      <c r="B110" s="1">
        <v>383.89001500000001</v>
      </c>
      <c r="C110">
        <v>1865.3000489999999</v>
      </c>
      <c r="D110">
        <v>224.33999600000001</v>
      </c>
      <c r="E110" s="35">
        <v>96.5</v>
      </c>
      <c r="G110" s="13">
        <f t="shared" si="7"/>
        <v>1.3838692943436341E-2</v>
      </c>
      <c r="H110" s="13">
        <f t="shared" si="4"/>
        <v>-3.2154723848167217E-4</v>
      </c>
      <c r="I110" s="13">
        <f t="shared" si="5"/>
        <v>3.6499694728334094E-2</v>
      </c>
      <c r="J110" s="13">
        <f t="shared" si="6"/>
        <v>3.1096713682011534E-4</v>
      </c>
    </row>
    <row r="111" spans="1:10" x14ac:dyDescent="0.25">
      <c r="A111" s="2">
        <v>44215</v>
      </c>
      <c r="B111" s="1">
        <v>378.64999399999999</v>
      </c>
      <c r="C111">
        <v>1865.900024</v>
      </c>
      <c r="D111">
        <v>216.44000199999999</v>
      </c>
      <c r="E111" s="35">
        <v>96.470000999999996</v>
      </c>
      <c r="G111" s="13">
        <f t="shared" si="7"/>
        <v>7.8519614207517695E-3</v>
      </c>
      <c r="H111" s="13">
        <f t="shared" si="4"/>
        <v>1.4351739059527063E-2</v>
      </c>
      <c r="I111" s="13">
        <f t="shared" si="5"/>
        <v>1.7822751502170275E-2</v>
      </c>
      <c r="J111" s="13">
        <f t="shared" si="6"/>
        <v>3.1106386746020028E-4</v>
      </c>
    </row>
    <row r="112" spans="1:10" x14ac:dyDescent="0.25">
      <c r="A112" s="2">
        <v>44211</v>
      </c>
      <c r="B112" s="1">
        <v>375.70001200000002</v>
      </c>
      <c r="C112">
        <v>1839.5</v>
      </c>
      <c r="D112">
        <v>212.64999399999999</v>
      </c>
      <c r="E112" s="35">
        <v>96.440002000000007</v>
      </c>
      <c r="G112" s="13">
        <f t="shared" si="7"/>
        <v>-7.2926572573955035E-3</v>
      </c>
      <c r="H112" s="13">
        <f t="shared" si="4"/>
        <v>5.5758764154496864E-3</v>
      </c>
      <c r="I112" s="13">
        <f t="shared" si="5"/>
        <v>-1.7369730215572041E-3</v>
      </c>
      <c r="J112" s="13">
        <f t="shared" si="6"/>
        <v>7.2635672741454532E-4</v>
      </c>
    </row>
    <row r="113" spans="1:10" x14ac:dyDescent="0.25">
      <c r="A113" s="2">
        <v>44210</v>
      </c>
      <c r="B113" s="1">
        <v>378.459991</v>
      </c>
      <c r="C113">
        <v>1829.3000489999999</v>
      </c>
      <c r="D113">
        <v>213.020004</v>
      </c>
      <c r="E113" s="35">
        <v>96.370002999999997</v>
      </c>
      <c r="G113" s="13">
        <f t="shared" si="7"/>
        <v>-3.5019825916484167E-3</v>
      </c>
      <c r="H113" s="13">
        <f t="shared" si="4"/>
        <v>-1.1349510589566007E-2</v>
      </c>
      <c r="I113" s="13">
        <f t="shared" si="5"/>
        <v>-1.5346177597229933E-2</v>
      </c>
      <c r="J113" s="13">
        <f t="shared" si="6"/>
        <v>-1.243600398872461E-3</v>
      </c>
    </row>
    <row r="114" spans="1:10" x14ac:dyDescent="0.25">
      <c r="A114" s="2">
        <v>44209</v>
      </c>
      <c r="B114" s="1">
        <v>379.790009</v>
      </c>
      <c r="C114">
        <v>1850.3000489999999</v>
      </c>
      <c r="D114">
        <v>216.33999600000001</v>
      </c>
      <c r="E114" s="35">
        <v>96.489998</v>
      </c>
      <c r="G114" s="13">
        <f t="shared" si="7"/>
        <v>2.6929799868594872E-3</v>
      </c>
      <c r="H114" s="13">
        <f t="shared" si="4"/>
        <v>-1.780280018734757E-3</v>
      </c>
      <c r="I114" s="13">
        <f t="shared" si="5"/>
        <v>6.560289610208183E-3</v>
      </c>
      <c r="J114" s="13">
        <f t="shared" si="6"/>
        <v>3.6405138718588591E-3</v>
      </c>
    </row>
    <row r="115" spans="1:10" x14ac:dyDescent="0.25">
      <c r="A115" s="2">
        <v>44208</v>
      </c>
      <c r="B115" s="1">
        <v>378.76998900000001</v>
      </c>
      <c r="C115">
        <v>1853.599976</v>
      </c>
      <c r="D115">
        <v>214.929993</v>
      </c>
      <c r="E115" s="35">
        <v>96.139999000000003</v>
      </c>
      <c r="G115" s="13">
        <f t="shared" si="7"/>
        <v>2.1122025819952044E-4</v>
      </c>
      <c r="H115" s="13">
        <f t="shared" si="4"/>
        <v>5.8060404040669433E-3</v>
      </c>
      <c r="I115" s="13">
        <f t="shared" si="5"/>
        <v>-1.1770711026467632E-2</v>
      </c>
      <c r="J115" s="13">
        <f t="shared" si="6"/>
        <v>1.1454753842077977E-3</v>
      </c>
    </row>
    <row r="116" spans="1:10" x14ac:dyDescent="0.25">
      <c r="A116" s="2">
        <v>44207</v>
      </c>
      <c r="B116" s="1">
        <v>378.69000199999999</v>
      </c>
      <c r="C116">
        <v>1842.900024</v>
      </c>
      <c r="D116">
        <v>217.490005</v>
      </c>
      <c r="E116" s="35">
        <v>96.029999000000004</v>
      </c>
      <c r="G116" s="13">
        <f t="shared" si="7"/>
        <v>-6.7408276047625079E-3</v>
      </c>
      <c r="H116" s="13">
        <f t="shared" si="4"/>
        <v>-3.622378939736718E-3</v>
      </c>
      <c r="I116" s="13">
        <f t="shared" si="5"/>
        <v>-9.6985249453265514E-3</v>
      </c>
      <c r="J116" s="13">
        <f t="shared" si="6"/>
        <v>-2.4929677727111585E-3</v>
      </c>
    </row>
    <row r="117" spans="1:10" x14ac:dyDescent="0.25">
      <c r="A117" s="2">
        <v>44204</v>
      </c>
      <c r="B117" s="1">
        <v>381.26001000000002</v>
      </c>
      <c r="C117">
        <v>1849.599976</v>
      </c>
      <c r="D117">
        <v>219.61999499999999</v>
      </c>
      <c r="E117" s="35">
        <v>96.269997000000004</v>
      </c>
      <c r="G117" s="13">
        <f t="shared" si="7"/>
        <v>5.697715552133267E-3</v>
      </c>
      <c r="H117" s="13">
        <f t="shared" si="4"/>
        <v>8.4510115058198994E-3</v>
      </c>
      <c r="I117" s="13">
        <f t="shared" si="5"/>
        <v>6.0928216713991967E-3</v>
      </c>
      <c r="J117" s="13">
        <f t="shared" si="6"/>
        <v>-1.5557042430140182E-3</v>
      </c>
    </row>
    <row r="118" spans="1:10" x14ac:dyDescent="0.25">
      <c r="A118" s="2">
        <v>44203</v>
      </c>
      <c r="B118" s="1">
        <v>379.10000600000001</v>
      </c>
      <c r="C118">
        <v>1834.099976</v>
      </c>
      <c r="D118">
        <v>218.28999300000001</v>
      </c>
      <c r="E118" s="35">
        <v>96.419998000000007</v>
      </c>
      <c r="G118" s="13">
        <f t="shared" si="7"/>
        <v>1.4857497465640458E-2</v>
      </c>
      <c r="H118" s="13">
        <f t="shared" si="4"/>
        <v>-4.0893202424427684E-2</v>
      </c>
      <c r="I118" s="13">
        <f t="shared" si="5"/>
        <v>2.8456975265017715E-2</v>
      </c>
      <c r="J118" s="13">
        <f t="shared" si="6"/>
        <v>-1.0360443753432446E-3</v>
      </c>
    </row>
    <row r="119" spans="1:10" x14ac:dyDescent="0.25">
      <c r="A119" s="2">
        <v>44202</v>
      </c>
      <c r="B119" s="1">
        <v>373.54998799999998</v>
      </c>
      <c r="C119">
        <v>1912.3000489999999</v>
      </c>
      <c r="D119">
        <v>212.25</v>
      </c>
      <c r="E119" s="35">
        <v>96.519997000000004</v>
      </c>
      <c r="G119" s="13">
        <f t="shared" si="7"/>
        <v>5.9785125837412316E-3</v>
      </c>
      <c r="H119" s="13">
        <f t="shared" si="4"/>
        <v>2.8318343552550681E-3</v>
      </c>
      <c r="I119" s="13">
        <f t="shared" si="5"/>
        <v>-2.5929298557025169E-2</v>
      </c>
      <c r="J119" s="13">
        <f t="shared" si="6"/>
        <v>-3.3044094714749441E-3</v>
      </c>
    </row>
    <row r="120" spans="1:10" x14ac:dyDescent="0.25">
      <c r="A120" s="2">
        <v>44201</v>
      </c>
      <c r="B120" s="1">
        <v>371.32998700000002</v>
      </c>
      <c r="C120">
        <v>1906.900024</v>
      </c>
      <c r="D120">
        <v>217.89999399999999</v>
      </c>
      <c r="E120" s="35">
        <v>96.839995999999999</v>
      </c>
      <c r="G120" s="13">
        <f t="shared" si="7"/>
        <v>6.8873286640474558E-3</v>
      </c>
      <c r="H120" s="13">
        <f t="shared" si="4"/>
        <v>-2.3454666947958572E-2</v>
      </c>
      <c r="I120" s="13">
        <f t="shared" si="5"/>
        <v>9.6463777881723636E-4</v>
      </c>
      <c r="J120" s="13">
        <f t="shared" si="6"/>
        <v>-1.8552979340950124E-3</v>
      </c>
    </row>
    <row r="121" spans="1:10" x14ac:dyDescent="0.25">
      <c r="A121" s="2">
        <v>44200</v>
      </c>
      <c r="B121" s="1">
        <v>368.790009</v>
      </c>
      <c r="C121">
        <v>1952.6999510000001</v>
      </c>
      <c r="D121">
        <v>217.69000199999999</v>
      </c>
      <c r="E121" s="35">
        <v>97.019997000000004</v>
      </c>
      <c r="G121" s="13">
        <f t="shared" si="7"/>
        <v>-1.3613982914117018E-2</v>
      </c>
      <c r="H121" s="13">
        <f t="shared" si="4"/>
        <v>4.1137451543032406E-3</v>
      </c>
      <c r="I121" s="13">
        <f t="shared" si="5"/>
        <v>-2.1266055402086641E-2</v>
      </c>
      <c r="J121" s="13">
        <f t="shared" si="6"/>
        <v>-1.2353510524536807E-3</v>
      </c>
    </row>
    <row r="122" spans="1:10" x14ac:dyDescent="0.25">
      <c r="A122" s="2">
        <v>44196</v>
      </c>
      <c r="B122" s="1">
        <v>373.88000499999998</v>
      </c>
      <c r="C122">
        <v>1944.6999510000001</v>
      </c>
      <c r="D122">
        <v>222.41999799999999</v>
      </c>
      <c r="E122" s="35">
        <v>97.139999000000003</v>
      </c>
      <c r="G122" s="13">
        <f t="shared" si="7"/>
        <v>5.0808222016942052E-3</v>
      </c>
      <c r="H122" s="13">
        <f t="shared" si="4"/>
        <v>2.7256867389025885E-2</v>
      </c>
      <c r="I122" s="13">
        <f t="shared" si="5"/>
        <v>3.3381677344242631E-3</v>
      </c>
      <c r="J122" s="13">
        <f t="shared" si="6"/>
        <v>2.0588961472752551E-4</v>
      </c>
    </row>
    <row r="123" spans="1:10" x14ac:dyDescent="0.25">
      <c r="A123" s="2">
        <v>44195</v>
      </c>
      <c r="B123" s="1">
        <v>371.98998999999998</v>
      </c>
      <c r="C123">
        <v>1893.099976</v>
      </c>
      <c r="D123">
        <v>221.679993</v>
      </c>
      <c r="E123" s="35">
        <v>97.120002999999997</v>
      </c>
      <c r="G123" s="13">
        <f t="shared" si="7"/>
        <v>1.4267996899832349E-3</v>
      </c>
      <c r="H123" s="13">
        <f t="shared" si="4"/>
        <v>1.1105108408249443E-3</v>
      </c>
      <c r="I123" s="13">
        <f t="shared" si="5"/>
        <v>-1.1019411403597881E-2</v>
      </c>
      <c r="J123" s="13">
        <f t="shared" si="6"/>
        <v>1.5468907750140236E-3</v>
      </c>
    </row>
    <row r="124" spans="1:10" x14ac:dyDescent="0.25">
      <c r="A124" s="2">
        <v>44194</v>
      </c>
      <c r="B124" s="1">
        <v>371.459991</v>
      </c>
      <c r="C124">
        <v>1891</v>
      </c>
      <c r="D124">
        <v>224.14999399999999</v>
      </c>
      <c r="E124" s="35">
        <v>96.970000999999996</v>
      </c>
      <c r="G124" s="13">
        <f t="shared" si="7"/>
        <v>-1.9077893844176555E-3</v>
      </c>
      <c r="H124" s="13">
        <f t="shared" si="4"/>
        <v>6.0116238200614517E-3</v>
      </c>
      <c r="I124" s="13">
        <f t="shared" si="5"/>
        <v>-3.6006977898075808E-3</v>
      </c>
      <c r="J124" s="13">
        <f t="shared" si="6"/>
        <v>7.2238388601886412E-4</v>
      </c>
    </row>
    <row r="125" spans="1:10" x14ac:dyDescent="0.25">
      <c r="A125" s="2">
        <v>44193</v>
      </c>
      <c r="B125" s="1">
        <v>372.17001299999998</v>
      </c>
      <c r="C125">
        <v>1879.6999510000001</v>
      </c>
      <c r="D125">
        <v>224.96000699999999</v>
      </c>
      <c r="E125" s="35">
        <v>96.900002000000001</v>
      </c>
      <c r="G125" s="13">
        <f t="shared" si="7"/>
        <v>8.5908211382113367E-3</v>
      </c>
      <c r="H125" s="13">
        <f t="shared" si="4"/>
        <v>1.3317707571152606E-3</v>
      </c>
      <c r="I125" s="13">
        <f t="shared" si="5"/>
        <v>9.9214680134679691E-3</v>
      </c>
      <c r="J125" s="13">
        <f t="shared" si="6"/>
        <v>2.0649257451977015E-4</v>
      </c>
    </row>
    <row r="126" spans="1:10" x14ac:dyDescent="0.25">
      <c r="A126" s="2">
        <v>44189</v>
      </c>
      <c r="B126" s="1">
        <v>369</v>
      </c>
      <c r="C126">
        <v>1877.1999510000001</v>
      </c>
      <c r="D126">
        <v>222.75</v>
      </c>
      <c r="E126" s="35">
        <v>96.879997000000003</v>
      </c>
      <c r="G126" s="13">
        <f t="shared" si="7"/>
        <v>3.8903963129941245E-3</v>
      </c>
      <c r="H126" s="13">
        <f t="shared" si="4"/>
        <v>1.3335467356610604E-3</v>
      </c>
      <c r="I126" s="13">
        <f t="shared" si="5"/>
        <v>7.8273277019757902E-3</v>
      </c>
      <c r="J126" s="13">
        <f t="shared" si="6"/>
        <v>1.5506460803067135E-3</v>
      </c>
    </row>
    <row r="127" spans="1:10" x14ac:dyDescent="0.25">
      <c r="A127" s="2">
        <v>44188</v>
      </c>
      <c r="B127" s="1">
        <v>367.57000699999998</v>
      </c>
      <c r="C127">
        <v>1874.6999510000001</v>
      </c>
      <c r="D127">
        <v>221.020004</v>
      </c>
      <c r="E127" s="35">
        <v>96.730002999999996</v>
      </c>
      <c r="G127" s="13">
        <f t="shared" si="7"/>
        <v>8.9864124002399096E-4</v>
      </c>
      <c r="H127" s="13">
        <f t="shared" si="4"/>
        <v>4.3394273567697109E-3</v>
      </c>
      <c r="I127" s="13">
        <f t="shared" si="5"/>
        <v>-1.3039197883011507E-2</v>
      </c>
      <c r="J127" s="13">
        <f t="shared" si="6"/>
        <v>-3.194538301787603E-3</v>
      </c>
    </row>
    <row r="128" spans="1:10" x14ac:dyDescent="0.25">
      <c r="A128" s="2">
        <v>44187</v>
      </c>
      <c r="B128" s="1">
        <v>367.23998999999998</v>
      </c>
      <c r="C128">
        <v>1866.599976</v>
      </c>
      <c r="D128">
        <v>223.94000199999999</v>
      </c>
      <c r="E128" s="35">
        <v>97.040001000000004</v>
      </c>
      <c r="G128" s="13">
        <f t="shared" si="7"/>
        <v>-1.6854102791311134E-3</v>
      </c>
      <c r="H128" s="13">
        <f t="shared" si="4"/>
        <v>-6.7049677142100384E-3</v>
      </c>
      <c r="I128" s="13">
        <f t="shared" si="5"/>
        <v>6.0649895514620477E-3</v>
      </c>
      <c r="J128" s="13">
        <f t="shared" si="6"/>
        <v>1.754908586097667E-3</v>
      </c>
    </row>
    <row r="129" spans="1:10" x14ac:dyDescent="0.25">
      <c r="A129" s="2">
        <v>44186</v>
      </c>
      <c r="B129" s="1">
        <v>367.85998499999999</v>
      </c>
      <c r="C129">
        <v>1879.1999510000001</v>
      </c>
      <c r="D129">
        <v>222.58999600000001</v>
      </c>
      <c r="E129" s="35">
        <v>96.870002999999997</v>
      </c>
      <c r="G129" s="13">
        <f t="shared" si="7"/>
        <v>-3.5755133675405581E-3</v>
      </c>
      <c r="H129" s="13">
        <f t="shared" si="4"/>
        <v>-3.4469959001446671E-3</v>
      </c>
      <c r="I129" s="13">
        <f t="shared" si="5"/>
        <v>1.8299099104242628E-2</v>
      </c>
      <c r="J129" s="13">
        <f t="shared" si="6"/>
        <v>-7.2208581138681952E-4</v>
      </c>
    </row>
    <row r="130" spans="1:10" x14ac:dyDescent="0.25">
      <c r="A130" s="2">
        <v>44183</v>
      </c>
      <c r="B130" s="1">
        <v>369.17999300000002</v>
      </c>
      <c r="C130">
        <v>1885.6999510000001</v>
      </c>
      <c r="D130">
        <v>218.58999600000001</v>
      </c>
      <c r="E130" s="35">
        <v>96.940002000000007</v>
      </c>
      <c r="G130" s="13">
        <f t="shared" si="7"/>
        <v>-8.220495062875843E-3</v>
      </c>
      <c r="H130" s="13">
        <f t="shared" ref="H130:H193" si="8">(C130-C131)/C131</f>
        <v>-7.9482833772074419E-4</v>
      </c>
      <c r="I130" s="13">
        <f t="shared" ref="I130:I193" si="9">(D130-D131)/D131</f>
        <v>-3.7827089944644839E-3</v>
      </c>
      <c r="J130" s="13">
        <f t="shared" ref="J130:J193" si="10">(E130-E131)/E131</f>
        <v>-6.185360824741558E-4</v>
      </c>
    </row>
    <row r="131" spans="1:10" x14ac:dyDescent="0.25">
      <c r="A131" s="2">
        <v>44182</v>
      </c>
      <c r="B131" s="1">
        <v>372.23998999999998</v>
      </c>
      <c r="C131">
        <v>1887.1999510000001</v>
      </c>
      <c r="D131">
        <v>219.41999799999999</v>
      </c>
      <c r="E131" s="35">
        <v>97</v>
      </c>
      <c r="G131" s="13">
        <f t="shared" ref="G131:G194" si="11">(B131-B132)/B132</f>
        <v>5.5919629556811087E-3</v>
      </c>
      <c r="H131" s="13">
        <f t="shared" si="8"/>
        <v>1.6755549486629641E-2</v>
      </c>
      <c r="I131" s="13">
        <f t="shared" si="9"/>
        <v>6.3844856183161911E-4</v>
      </c>
      <c r="J131" s="13">
        <f t="shared" si="10"/>
        <v>1.1353184140294697E-3</v>
      </c>
    </row>
    <row r="132" spans="1:10" x14ac:dyDescent="0.25">
      <c r="A132" s="2">
        <v>44181</v>
      </c>
      <c r="B132" s="1">
        <v>370.17001299999998</v>
      </c>
      <c r="C132">
        <v>1856.099976</v>
      </c>
      <c r="D132">
        <v>219.279999</v>
      </c>
      <c r="E132" s="35">
        <v>96.889999000000003</v>
      </c>
      <c r="G132" s="13">
        <f t="shared" si="11"/>
        <v>1.5693525427565903E-3</v>
      </c>
      <c r="H132" s="13">
        <f t="shared" si="8"/>
        <v>2.0514640714129925E-3</v>
      </c>
      <c r="I132" s="13">
        <f t="shared" si="9"/>
        <v>2.4050781673497799E-2</v>
      </c>
      <c r="J132" s="13">
        <f t="shared" si="10"/>
        <v>-3.0952332458780756E-4</v>
      </c>
    </row>
    <row r="133" spans="1:10" x14ac:dyDescent="0.25">
      <c r="A133" s="2">
        <v>44180</v>
      </c>
      <c r="B133" s="1">
        <v>369.58999599999999</v>
      </c>
      <c r="C133">
        <v>1852.3000489999999</v>
      </c>
      <c r="D133">
        <v>214.13000500000001</v>
      </c>
      <c r="E133" s="35">
        <v>96.919998000000007</v>
      </c>
      <c r="G133" s="13">
        <f t="shared" si="11"/>
        <v>1.3519420682066274E-2</v>
      </c>
      <c r="H133" s="13">
        <f t="shared" si="8"/>
        <v>1.29053965288808E-2</v>
      </c>
      <c r="I133" s="13">
        <f t="shared" si="9"/>
        <v>-3.2676004192467358E-4</v>
      </c>
      <c r="J133" s="13">
        <f t="shared" si="10"/>
        <v>1.1362462790259912E-3</v>
      </c>
    </row>
    <row r="134" spans="1:10" x14ac:dyDescent="0.25">
      <c r="A134" s="2">
        <v>44179</v>
      </c>
      <c r="B134" s="1">
        <v>364.66000400000001</v>
      </c>
      <c r="C134">
        <v>1828.6999510000001</v>
      </c>
      <c r="D134">
        <v>214.199997</v>
      </c>
      <c r="E134" s="35">
        <v>96.809997999999993</v>
      </c>
      <c r="G134" s="13">
        <f t="shared" si="11"/>
        <v>-4.4771609438326544E-3</v>
      </c>
      <c r="H134" s="13">
        <f t="shared" si="8"/>
        <v>-6.033317591242161E-3</v>
      </c>
      <c r="I134" s="13">
        <f t="shared" si="9"/>
        <v>4.407774650843411E-3</v>
      </c>
      <c r="J134" s="13">
        <f t="shared" si="10"/>
        <v>4.1336159181641304E-4</v>
      </c>
    </row>
    <row r="135" spans="1:10" x14ac:dyDescent="0.25">
      <c r="A135" s="2">
        <v>44176</v>
      </c>
      <c r="B135" s="1">
        <v>366.29998799999998</v>
      </c>
      <c r="C135">
        <v>1839.8000489999999</v>
      </c>
      <c r="D135">
        <v>213.259995</v>
      </c>
      <c r="E135" s="35">
        <v>96.769997000000004</v>
      </c>
      <c r="G135" s="13">
        <f t="shared" si="11"/>
        <v>-1.1725874269940934E-3</v>
      </c>
      <c r="H135" s="13">
        <f t="shared" si="8"/>
        <v>3.3813662091801721E-3</v>
      </c>
      <c r="I135" s="13">
        <f t="shared" si="9"/>
        <v>1.3015347463132309E-2</v>
      </c>
      <c r="J135" s="13">
        <f t="shared" si="10"/>
        <v>4.1346013397732645E-4</v>
      </c>
    </row>
    <row r="136" spans="1:10" x14ac:dyDescent="0.25">
      <c r="A136" s="2">
        <v>44175</v>
      </c>
      <c r="B136" s="1">
        <v>366.73001099999999</v>
      </c>
      <c r="C136">
        <v>1833.599976</v>
      </c>
      <c r="D136">
        <v>210.520004</v>
      </c>
      <c r="E136" s="35">
        <v>96.730002999999996</v>
      </c>
      <c r="G136" s="13">
        <f t="shared" si="11"/>
        <v>-3.2709553778777141E-4</v>
      </c>
      <c r="H136" s="13">
        <f t="shared" si="8"/>
        <v>-5.4507795327693822E-4</v>
      </c>
      <c r="I136" s="13">
        <f t="shared" si="9"/>
        <v>-6.0434323978739678E-3</v>
      </c>
      <c r="J136" s="13">
        <f t="shared" si="10"/>
        <v>2.9031208782722951E-3</v>
      </c>
    </row>
    <row r="137" spans="1:10" x14ac:dyDescent="0.25">
      <c r="A137" s="2">
        <v>44174</v>
      </c>
      <c r="B137" s="1">
        <v>366.85000600000001</v>
      </c>
      <c r="C137">
        <v>1834.599976</v>
      </c>
      <c r="D137">
        <v>211.800003</v>
      </c>
      <c r="E137" s="35">
        <v>96.449996999999996</v>
      </c>
      <c r="G137" s="13">
        <f t="shared" si="11"/>
        <v>-8.9688707442652192E-3</v>
      </c>
      <c r="H137" s="13">
        <f t="shared" si="8"/>
        <v>-1.9350049204536864E-2</v>
      </c>
      <c r="I137" s="13">
        <f t="shared" si="9"/>
        <v>-1.9489801849215355E-2</v>
      </c>
      <c r="J137" s="13">
        <f t="shared" si="10"/>
        <v>-2.4822111390587279E-3</v>
      </c>
    </row>
    <row r="138" spans="1:10" x14ac:dyDescent="0.25">
      <c r="A138" s="2">
        <v>44173</v>
      </c>
      <c r="B138" s="1">
        <v>370.17001299999998</v>
      </c>
      <c r="C138">
        <v>1870.8000489999999</v>
      </c>
      <c r="D138">
        <v>216.009995</v>
      </c>
      <c r="E138" s="35">
        <v>96.690002000000007</v>
      </c>
      <c r="G138" s="13">
        <f t="shared" si="11"/>
        <v>2.9261616725043886E-3</v>
      </c>
      <c r="H138" s="13">
        <f t="shared" si="8"/>
        <v>4.8340314551146516E-3</v>
      </c>
      <c r="I138" s="13">
        <f t="shared" si="9"/>
        <v>8.0265157318848476E-3</v>
      </c>
      <c r="J138" s="13">
        <f t="shared" si="10"/>
        <v>-8.2665084716285263E-4</v>
      </c>
    </row>
    <row r="139" spans="1:10" x14ac:dyDescent="0.25">
      <c r="A139" s="2">
        <v>44172</v>
      </c>
      <c r="B139" s="1">
        <v>369.08999599999999</v>
      </c>
      <c r="C139">
        <v>1861.8000489999999</v>
      </c>
      <c r="D139">
        <v>214.28999300000001</v>
      </c>
      <c r="E139" s="35">
        <v>96.769997000000004</v>
      </c>
      <c r="G139" s="13">
        <f t="shared" si="11"/>
        <v>-2.0549141210505278E-3</v>
      </c>
      <c r="H139" s="13">
        <f t="shared" si="8"/>
        <v>1.4107535629075145E-2</v>
      </c>
      <c r="I139" s="13">
        <f t="shared" si="9"/>
        <v>-3.2659078033873214E-4</v>
      </c>
      <c r="J139" s="13">
        <f t="shared" si="10"/>
        <v>8.2733476414652155E-4</v>
      </c>
    </row>
    <row r="140" spans="1:10" x14ac:dyDescent="0.25">
      <c r="A140" s="2">
        <v>44169</v>
      </c>
      <c r="B140" s="1">
        <v>369.85000600000001</v>
      </c>
      <c r="C140">
        <v>1835.900024</v>
      </c>
      <c r="D140">
        <v>214.36000100000001</v>
      </c>
      <c r="E140" s="35">
        <v>96.690002000000007</v>
      </c>
      <c r="G140" s="13">
        <f t="shared" si="11"/>
        <v>8.6176442847220435E-3</v>
      </c>
      <c r="H140" s="13">
        <f t="shared" si="8"/>
        <v>-4.8999617595279924E-4</v>
      </c>
      <c r="I140" s="13">
        <f t="shared" si="9"/>
        <v>5.6010080843684937E-4</v>
      </c>
      <c r="J140" s="13">
        <f t="shared" si="10"/>
        <v>-2.2701681035942772E-3</v>
      </c>
    </row>
    <row r="141" spans="1:10" x14ac:dyDescent="0.25">
      <c r="A141" s="2">
        <v>44168</v>
      </c>
      <c r="B141" s="1">
        <v>366.69000199999999</v>
      </c>
      <c r="C141">
        <v>1836.8000489999999</v>
      </c>
      <c r="D141">
        <v>214.240005</v>
      </c>
      <c r="E141" s="35">
        <v>96.910004000000001</v>
      </c>
      <c r="G141" s="13">
        <f t="shared" si="11"/>
        <v>-2.7265464583580047E-4</v>
      </c>
      <c r="H141" s="13">
        <f t="shared" si="8"/>
        <v>6.0799136210306489E-3</v>
      </c>
      <c r="I141" s="13">
        <f t="shared" si="9"/>
        <v>-5.2467382933262937E-3</v>
      </c>
      <c r="J141" s="13">
        <f t="shared" si="10"/>
        <v>2.171737399330059E-3</v>
      </c>
    </row>
    <row r="142" spans="1:10" x14ac:dyDescent="0.25">
      <c r="A142" s="2">
        <v>44167</v>
      </c>
      <c r="B142" s="1">
        <v>366.790009</v>
      </c>
      <c r="C142">
        <v>1825.6999510000001</v>
      </c>
      <c r="D142">
        <v>215.36999499999999</v>
      </c>
      <c r="E142" s="35">
        <v>96.699996999999996</v>
      </c>
      <c r="G142" s="13">
        <f t="shared" si="11"/>
        <v>2.1037648848188676E-3</v>
      </c>
      <c r="H142" s="13">
        <f t="shared" si="8"/>
        <v>6.3943416313677779E-3</v>
      </c>
      <c r="I142" s="13">
        <f t="shared" si="9"/>
        <v>-3.8851670727710653E-3</v>
      </c>
      <c r="J142" s="13">
        <f t="shared" si="10"/>
        <v>-2.0682381920157479E-4</v>
      </c>
    </row>
    <row r="143" spans="1:10" x14ac:dyDescent="0.25">
      <c r="A143" s="2">
        <v>44166</v>
      </c>
      <c r="B143" s="1">
        <v>366.01998900000001</v>
      </c>
      <c r="C143">
        <v>1814.099976</v>
      </c>
      <c r="D143">
        <v>216.21000699999999</v>
      </c>
      <c r="E143" s="35">
        <v>96.720000999999996</v>
      </c>
      <c r="G143" s="13">
        <f t="shared" si="11"/>
        <v>1.0937388890998122E-2</v>
      </c>
      <c r="H143" s="13">
        <f t="shared" si="8"/>
        <v>2.1625289215317388E-2</v>
      </c>
      <c r="I143" s="13">
        <f t="shared" si="9"/>
        <v>9.9967297146862158E-3</v>
      </c>
      <c r="J143" s="13">
        <f t="shared" si="10"/>
        <v>-4.6310281904092497E-3</v>
      </c>
    </row>
    <row r="144" spans="1:10" x14ac:dyDescent="0.25">
      <c r="A144" s="2">
        <v>44165</v>
      </c>
      <c r="B144" s="1">
        <v>362.05999800000001</v>
      </c>
      <c r="C144">
        <v>1775.6999510000001</v>
      </c>
      <c r="D144">
        <v>214.070007</v>
      </c>
      <c r="E144" s="35">
        <v>97.169998000000007</v>
      </c>
      <c r="G144" s="13">
        <f t="shared" si="11"/>
        <v>-4.4271315820586391E-3</v>
      </c>
      <c r="H144" s="13">
        <f t="shared" si="8"/>
        <v>-1.6614055941789191E-2</v>
      </c>
      <c r="I144" s="13">
        <f t="shared" si="9"/>
        <v>-5.3895322285839563E-3</v>
      </c>
      <c r="J144" s="13">
        <f t="shared" si="10"/>
        <v>1.7525567010309975E-3</v>
      </c>
    </row>
    <row r="145" spans="1:10" x14ac:dyDescent="0.25">
      <c r="A145" s="2">
        <v>44162</v>
      </c>
      <c r="B145" s="1">
        <v>363.67001299999998</v>
      </c>
      <c r="C145">
        <v>1805.6999510000001</v>
      </c>
      <c r="D145">
        <v>215.229996</v>
      </c>
      <c r="E145" s="35">
        <v>97</v>
      </c>
      <c r="G145" s="13">
        <f t="shared" si="11"/>
        <v>2.7850024509456744E-3</v>
      </c>
      <c r="H145" s="13">
        <f t="shared" si="8"/>
        <v>4.9861589958329565E-4</v>
      </c>
      <c r="I145" s="13">
        <f t="shared" si="9"/>
        <v>6.3590079571471036E-3</v>
      </c>
      <c r="J145" s="13">
        <f t="shared" si="10"/>
        <v>1.6522512041409079E-3</v>
      </c>
    </row>
    <row r="146" spans="1:10" x14ac:dyDescent="0.25">
      <c r="A146" s="2">
        <v>44160</v>
      </c>
      <c r="B146" s="1">
        <v>362.66000400000001</v>
      </c>
      <c r="C146">
        <v>1804.8000489999999</v>
      </c>
      <c r="D146">
        <v>213.86999499999999</v>
      </c>
      <c r="E146" s="35">
        <v>96.839995999999999</v>
      </c>
      <c r="G146" s="13">
        <f t="shared" si="11"/>
        <v>-1.5417570575911369E-3</v>
      </c>
      <c r="H146" s="13">
        <f t="shared" si="8"/>
        <v>-1.7956251561727976E-2</v>
      </c>
      <c r="I146" s="13">
        <f t="shared" si="9"/>
        <v>4.6731506374479217E-5</v>
      </c>
      <c r="J146" s="13">
        <f t="shared" si="10"/>
        <v>1.240643080638543E-3</v>
      </c>
    </row>
    <row r="147" spans="1:10" x14ac:dyDescent="0.25">
      <c r="A147" s="2">
        <v>44159</v>
      </c>
      <c r="B147" s="1">
        <v>363.22000100000002</v>
      </c>
      <c r="C147">
        <v>1837.8000489999999</v>
      </c>
      <c r="D147">
        <v>213.86000100000001</v>
      </c>
      <c r="E147" s="35">
        <v>96.720000999999996</v>
      </c>
      <c r="G147" s="13">
        <f t="shared" si="11"/>
        <v>1.6113719423217973E-2</v>
      </c>
      <c r="H147" s="13">
        <f t="shared" si="8"/>
        <v>-1.8583748502622018E-2</v>
      </c>
      <c r="I147" s="13">
        <f t="shared" si="9"/>
        <v>1.7847793927715034E-2</v>
      </c>
      <c r="J147" s="13">
        <f t="shared" si="10"/>
        <v>4.1374637980957294E-4</v>
      </c>
    </row>
    <row r="148" spans="1:10" x14ac:dyDescent="0.25">
      <c r="A148" s="2">
        <v>44158</v>
      </c>
      <c r="B148" s="1">
        <v>357.459991</v>
      </c>
      <c r="C148">
        <v>1872.599976</v>
      </c>
      <c r="D148">
        <v>210.11000100000001</v>
      </c>
      <c r="E148" s="35">
        <v>96.68</v>
      </c>
      <c r="G148" s="13">
        <f t="shared" si="11"/>
        <v>5.9944391915337705E-3</v>
      </c>
      <c r="H148" s="13">
        <f t="shared" si="8"/>
        <v>6.1791414476919E-3</v>
      </c>
      <c r="I148" s="13">
        <f t="shared" si="9"/>
        <v>-1.3308522331424023E-3</v>
      </c>
      <c r="J148" s="13">
        <f t="shared" si="10"/>
        <v>-2.067942153089145E-4</v>
      </c>
    </row>
    <row r="149" spans="1:10" x14ac:dyDescent="0.25">
      <c r="A149" s="2">
        <v>44155</v>
      </c>
      <c r="B149" s="1">
        <v>355.32998700000002</v>
      </c>
      <c r="C149">
        <v>1861.099976</v>
      </c>
      <c r="D149">
        <v>210.38999899999999</v>
      </c>
      <c r="E149" s="35">
        <v>96.699996999999996</v>
      </c>
      <c r="G149" s="13">
        <f t="shared" si="11"/>
        <v>-6.8478171134433883E-3</v>
      </c>
      <c r="H149" s="13">
        <f t="shared" si="8"/>
        <v>-6.6186410461702861E-3</v>
      </c>
      <c r="I149" s="13">
        <f t="shared" si="9"/>
        <v>-9.5565343146270243E-3</v>
      </c>
      <c r="J149" s="13">
        <f t="shared" si="10"/>
        <v>-5.1682687338505218E-4</v>
      </c>
    </row>
    <row r="150" spans="1:10" x14ac:dyDescent="0.25">
      <c r="A150" s="2">
        <v>44154</v>
      </c>
      <c r="B150" s="1">
        <v>357.77999899999998</v>
      </c>
      <c r="C150">
        <v>1873.5</v>
      </c>
      <c r="D150">
        <v>212.41999799999999</v>
      </c>
      <c r="E150" s="35">
        <v>96.75</v>
      </c>
      <c r="G150" s="13">
        <f t="shared" si="11"/>
        <v>4.2101717868254515E-3</v>
      </c>
      <c r="H150" s="13">
        <f t="shared" si="8"/>
        <v>-5.8370920668612365E-3</v>
      </c>
      <c r="I150" s="13">
        <f t="shared" si="9"/>
        <v>6.348284950272007E-3</v>
      </c>
      <c r="J150" s="13">
        <f t="shared" si="10"/>
        <v>2.5906735751295338E-3</v>
      </c>
    </row>
    <row r="151" spans="1:10" x14ac:dyDescent="0.25">
      <c r="A151" s="2">
        <v>44153</v>
      </c>
      <c r="B151" s="1">
        <v>356.27999899999998</v>
      </c>
      <c r="C151">
        <v>1884.5</v>
      </c>
      <c r="D151">
        <v>211.08000200000001</v>
      </c>
      <c r="E151" s="35">
        <v>96.5</v>
      </c>
      <c r="G151" s="13">
        <f t="shared" si="11"/>
        <v>-1.2034817980628172E-2</v>
      </c>
      <c r="H151" s="13">
        <f t="shared" si="8"/>
        <v>-1.4836268358513376E-3</v>
      </c>
      <c r="I151" s="13">
        <f t="shared" si="9"/>
        <v>-1.576053758125627E-2</v>
      </c>
      <c r="J151" s="13">
        <f t="shared" si="10"/>
        <v>4.1469003125330458E-4</v>
      </c>
    </row>
    <row r="152" spans="1:10" x14ac:dyDescent="0.25">
      <c r="A152" s="2">
        <v>44152</v>
      </c>
      <c r="B152" s="1">
        <v>360.61999500000002</v>
      </c>
      <c r="C152">
        <v>1887.3000489999999</v>
      </c>
      <c r="D152">
        <v>214.46000699999999</v>
      </c>
      <c r="E152" s="35">
        <v>96.459998999999996</v>
      </c>
      <c r="G152" s="13">
        <f t="shared" si="11"/>
        <v>-5.3783047752208541E-3</v>
      </c>
      <c r="H152" s="13">
        <f t="shared" si="8"/>
        <v>8.4854326858912294E-4</v>
      </c>
      <c r="I152" s="13">
        <f t="shared" si="9"/>
        <v>-1.2751411181722848E-2</v>
      </c>
      <c r="J152" s="13">
        <f t="shared" si="10"/>
        <v>1.557481083116658E-3</v>
      </c>
    </row>
    <row r="153" spans="1:10" x14ac:dyDescent="0.25">
      <c r="A153" s="2">
        <v>44151</v>
      </c>
      <c r="B153" s="1">
        <v>362.57000699999998</v>
      </c>
      <c r="C153">
        <v>1885.6999510000001</v>
      </c>
      <c r="D153">
        <v>217.229996</v>
      </c>
      <c r="E153" s="35">
        <v>96.309997999999993</v>
      </c>
      <c r="G153" s="13">
        <f t="shared" si="11"/>
        <v>1.2482549358013604E-2</v>
      </c>
      <c r="H153" s="13">
        <f t="shared" si="8"/>
        <v>6.9956078008622628E-3</v>
      </c>
      <c r="I153" s="13">
        <f t="shared" si="9"/>
        <v>3.3254861975309563E-3</v>
      </c>
      <c r="J153" s="13">
        <f t="shared" si="10"/>
        <v>1.3516115616550872E-3</v>
      </c>
    </row>
    <row r="154" spans="1:10" x14ac:dyDescent="0.25">
      <c r="A154" s="2">
        <v>44148</v>
      </c>
      <c r="B154" s="1">
        <v>358.10000600000001</v>
      </c>
      <c r="C154">
        <v>1872.599976</v>
      </c>
      <c r="D154">
        <v>216.509995</v>
      </c>
      <c r="E154" s="35">
        <v>96.18</v>
      </c>
      <c r="G154" s="13">
        <f t="shared" si="11"/>
        <v>1.3844497960421526E-2</v>
      </c>
      <c r="H154" s="13">
        <f t="shared" si="8"/>
        <v>6.3954561795976066E-3</v>
      </c>
      <c r="I154" s="13">
        <f t="shared" si="9"/>
        <v>4.9665474845289447E-3</v>
      </c>
      <c r="J154" s="13">
        <f t="shared" si="10"/>
        <v>3.1199167317756465E-4</v>
      </c>
    </row>
    <row r="155" spans="1:10" x14ac:dyDescent="0.25">
      <c r="A155" s="2">
        <v>44147</v>
      </c>
      <c r="B155" s="1">
        <v>353.209991</v>
      </c>
      <c r="C155">
        <v>1860.6999510000001</v>
      </c>
      <c r="D155">
        <v>215.44000199999999</v>
      </c>
      <c r="E155" s="35">
        <v>96.150002000000001</v>
      </c>
      <c r="G155" s="13">
        <f t="shared" si="11"/>
        <v>-9.7009052454319483E-3</v>
      </c>
      <c r="H155" s="13">
        <f t="shared" si="8"/>
        <v>-7.8383666481172953E-3</v>
      </c>
      <c r="I155" s="13">
        <f t="shared" si="9"/>
        <v>-5.1258415360077884E-3</v>
      </c>
      <c r="J155" s="13">
        <f t="shared" si="10"/>
        <v>3.339246512798856E-3</v>
      </c>
    </row>
    <row r="156" spans="1:10" x14ac:dyDescent="0.25">
      <c r="A156" s="2">
        <v>44146</v>
      </c>
      <c r="B156" s="1">
        <v>356.67001299999998</v>
      </c>
      <c r="C156">
        <v>1875.400024</v>
      </c>
      <c r="D156">
        <v>216.550003</v>
      </c>
      <c r="E156" s="35">
        <v>95.830001999999993</v>
      </c>
      <c r="G156" s="13">
        <f t="shared" si="11"/>
        <v>7.4285502574371063E-3</v>
      </c>
      <c r="H156" s="13">
        <f t="shared" si="8"/>
        <v>1.1979318792891536E-2</v>
      </c>
      <c r="I156" s="13">
        <f t="shared" si="9"/>
        <v>2.6254718408007166E-2</v>
      </c>
      <c r="J156" s="13">
        <f t="shared" si="10"/>
        <v>5.2206097851378744E-4</v>
      </c>
    </row>
    <row r="157" spans="1:10" x14ac:dyDescent="0.25">
      <c r="A157" s="2">
        <v>44145</v>
      </c>
      <c r="B157" s="1">
        <v>354.040009</v>
      </c>
      <c r="C157">
        <v>1853.1999510000001</v>
      </c>
      <c r="D157">
        <v>211.009995</v>
      </c>
      <c r="E157" s="35">
        <v>95.779999000000004</v>
      </c>
      <c r="G157" s="13">
        <f t="shared" si="11"/>
        <v>-1.4665754820993922E-3</v>
      </c>
      <c r="H157" s="13">
        <f t="shared" si="8"/>
        <v>-4.9787261221568013E-2</v>
      </c>
      <c r="I157" s="13">
        <f t="shared" si="9"/>
        <v>-3.379277454916782E-2</v>
      </c>
      <c r="J157" s="13">
        <f t="shared" si="10"/>
        <v>-4.1745982049665539E-4</v>
      </c>
    </row>
    <row r="158" spans="1:10" x14ac:dyDescent="0.25">
      <c r="A158" s="2">
        <v>44144</v>
      </c>
      <c r="B158" s="1">
        <v>354.55999800000001</v>
      </c>
      <c r="C158">
        <v>1950.3000489999999</v>
      </c>
      <c r="D158">
        <v>218.38999899999999</v>
      </c>
      <c r="E158" s="35">
        <v>95.82</v>
      </c>
      <c r="G158" s="13">
        <f t="shared" si="11"/>
        <v>1.2565666980058614E-2</v>
      </c>
      <c r="H158" s="13">
        <f t="shared" si="8"/>
        <v>2.5702975757237543E-3</v>
      </c>
      <c r="I158" s="13">
        <f t="shared" si="9"/>
        <v>-2.3824432219629783E-2</v>
      </c>
      <c r="J158" s="13">
        <f t="shared" si="10"/>
        <v>-4.4675324675325385E-3</v>
      </c>
    </row>
    <row r="159" spans="1:10" x14ac:dyDescent="0.25">
      <c r="A159" s="2">
        <v>44141</v>
      </c>
      <c r="B159" s="1">
        <v>350.16000400000001</v>
      </c>
      <c r="C159">
        <v>1945.3000489999999</v>
      </c>
      <c r="D159">
        <v>223.720001</v>
      </c>
      <c r="E159" s="35">
        <v>96.25</v>
      </c>
      <c r="G159" s="13">
        <f t="shared" si="11"/>
        <v>-2.2837483520931631E-4</v>
      </c>
      <c r="H159" s="13">
        <f t="shared" si="8"/>
        <v>2.6760304888761372E-2</v>
      </c>
      <c r="I159" s="13">
        <f t="shared" si="9"/>
        <v>1.9257826749091555E-3</v>
      </c>
      <c r="J159" s="13">
        <f t="shared" si="10"/>
        <v>-1.3487964727785064E-3</v>
      </c>
    </row>
    <row r="160" spans="1:10" x14ac:dyDescent="0.25">
      <c r="A160" s="2">
        <v>44140</v>
      </c>
      <c r="B160" s="1">
        <v>350.23998999999998</v>
      </c>
      <c r="C160">
        <v>1894.599976</v>
      </c>
      <c r="D160">
        <v>223.28999300000001</v>
      </c>
      <c r="E160" s="35">
        <v>96.379997000000003</v>
      </c>
      <c r="G160" s="13">
        <f t="shared" si="11"/>
        <v>1.9502767725665338E-2</v>
      </c>
      <c r="H160" s="13">
        <f t="shared" si="8"/>
        <v>-7.2832192821587795E-3</v>
      </c>
      <c r="I160" s="13">
        <f t="shared" si="9"/>
        <v>3.1886843347136484E-2</v>
      </c>
      <c r="J160" s="13">
        <f t="shared" si="10"/>
        <v>1.1426197509905337E-3</v>
      </c>
    </row>
    <row r="161" spans="1:10" x14ac:dyDescent="0.25">
      <c r="A161" s="2">
        <v>44139</v>
      </c>
      <c r="B161" s="1">
        <v>343.540009</v>
      </c>
      <c r="C161">
        <v>1908.5</v>
      </c>
      <c r="D161">
        <v>216.38999899999999</v>
      </c>
      <c r="E161" s="35">
        <v>96.269997000000004</v>
      </c>
      <c r="G161" s="13">
        <f t="shared" si="11"/>
        <v>2.2349224838107456E-2</v>
      </c>
      <c r="H161" s="13">
        <f t="shared" si="8"/>
        <v>9.5746803693438631E-3</v>
      </c>
      <c r="I161" s="13">
        <f t="shared" si="9"/>
        <v>4.8248831748010534E-2</v>
      </c>
      <c r="J161" s="13">
        <f t="shared" si="10"/>
        <v>9.436866642438993E-3</v>
      </c>
    </row>
    <row r="162" spans="1:10" x14ac:dyDescent="0.25">
      <c r="A162" s="2">
        <v>44138</v>
      </c>
      <c r="B162" s="1">
        <v>336.02999899999998</v>
      </c>
      <c r="C162">
        <v>1890.400024</v>
      </c>
      <c r="D162">
        <v>206.429993</v>
      </c>
      <c r="E162" s="35">
        <v>95.370002999999997</v>
      </c>
      <c r="G162" s="13">
        <f t="shared" si="11"/>
        <v>1.7655926069439269E-2</v>
      </c>
      <c r="H162" s="13">
        <f t="shared" si="8"/>
        <v>6.9244699231984239E-3</v>
      </c>
      <c r="I162" s="13">
        <f t="shared" si="9"/>
        <v>2.0263880588505052E-2</v>
      </c>
      <c r="J162" s="13">
        <f t="shared" si="10"/>
        <v>-8.3807231549728849E-4</v>
      </c>
    </row>
    <row r="163" spans="1:10" x14ac:dyDescent="0.25">
      <c r="A163" s="2">
        <v>44137</v>
      </c>
      <c r="B163" s="1">
        <v>330.20001200000002</v>
      </c>
      <c r="C163">
        <v>1877.400024</v>
      </c>
      <c r="D163">
        <v>202.33000200000001</v>
      </c>
      <c r="E163" s="35">
        <v>95.449996999999996</v>
      </c>
      <c r="G163" s="13">
        <f t="shared" si="11"/>
        <v>1.1208436636014233E-2</v>
      </c>
      <c r="H163" s="13">
        <f t="shared" si="8"/>
        <v>6.3250686920034889E-3</v>
      </c>
      <c r="I163" s="13">
        <f t="shared" si="9"/>
        <v>-6.9145552086004531E-4</v>
      </c>
      <c r="J163" s="13">
        <f t="shared" si="10"/>
        <v>-1.047768709907494E-4</v>
      </c>
    </row>
    <row r="164" spans="1:10" x14ac:dyDescent="0.25">
      <c r="A164" s="2">
        <v>44134</v>
      </c>
      <c r="B164" s="1">
        <v>326.540009</v>
      </c>
      <c r="C164">
        <v>1865.599976</v>
      </c>
      <c r="D164">
        <v>202.470001</v>
      </c>
      <c r="E164" s="35">
        <v>95.459998999999996</v>
      </c>
      <c r="G164" s="13">
        <f t="shared" si="11"/>
        <v>-1.0424879948258419E-2</v>
      </c>
      <c r="H164" s="13">
        <f t="shared" si="8"/>
        <v>-5.6497043368700555E-3</v>
      </c>
      <c r="I164" s="13">
        <f t="shared" si="9"/>
        <v>-1.0990621282773441E-2</v>
      </c>
      <c r="J164" s="13">
        <f t="shared" si="10"/>
        <v>-2.2993415551840566E-3</v>
      </c>
    </row>
    <row r="165" spans="1:10" x14ac:dyDescent="0.25">
      <c r="A165" s="2">
        <v>44133</v>
      </c>
      <c r="B165" s="1">
        <v>329.98001099999999</v>
      </c>
      <c r="C165">
        <v>1876.1999510000001</v>
      </c>
      <c r="D165">
        <v>204.720001</v>
      </c>
      <c r="E165" s="35">
        <v>95.68</v>
      </c>
      <c r="G165" s="13">
        <f t="shared" si="11"/>
        <v>1.0163494028488334E-2</v>
      </c>
      <c r="H165" s="13">
        <f t="shared" si="8"/>
        <v>-1.7078843861659965E-2</v>
      </c>
      <c r="I165" s="13">
        <f t="shared" si="9"/>
        <v>1.0065167112967092E-2</v>
      </c>
      <c r="J165" s="13">
        <f t="shared" si="10"/>
        <v>-1.565292673164991E-3</v>
      </c>
    </row>
    <row r="166" spans="1:10" x14ac:dyDescent="0.25">
      <c r="A166" s="2">
        <v>44132</v>
      </c>
      <c r="B166" s="1">
        <v>326.66000400000001</v>
      </c>
      <c r="C166">
        <v>1908.8000489999999</v>
      </c>
      <c r="D166">
        <v>202.679993</v>
      </c>
      <c r="E166" s="35">
        <v>95.830001999999993</v>
      </c>
      <c r="G166" s="13">
        <f t="shared" si="11"/>
        <v>-3.4178927815685295E-2</v>
      </c>
      <c r="H166" s="13">
        <f t="shared" si="8"/>
        <v>3.2060220513454403E-3</v>
      </c>
      <c r="I166" s="13">
        <f t="shared" si="9"/>
        <v>-4.9566269636576808E-2</v>
      </c>
      <c r="J166" s="13">
        <f t="shared" si="10"/>
        <v>-3.0170723153223763E-3</v>
      </c>
    </row>
    <row r="167" spans="1:10" x14ac:dyDescent="0.25">
      <c r="A167" s="2">
        <v>44131</v>
      </c>
      <c r="B167" s="1">
        <v>338.22000100000002</v>
      </c>
      <c r="C167">
        <v>1902.6999510000001</v>
      </c>
      <c r="D167">
        <v>213.25</v>
      </c>
      <c r="E167" s="35">
        <v>96.120002999999997</v>
      </c>
      <c r="G167" s="13">
        <f t="shared" si="11"/>
        <v>-3.4474025407022673E-3</v>
      </c>
      <c r="H167" s="13">
        <f t="shared" si="8"/>
        <v>3.6800788643536039E-4</v>
      </c>
      <c r="I167" s="13">
        <f t="shared" si="9"/>
        <v>1.5089480054365157E-2</v>
      </c>
      <c r="J167" s="13">
        <f t="shared" si="10"/>
        <v>2.1895421879035296E-3</v>
      </c>
    </row>
    <row r="168" spans="1:10" x14ac:dyDescent="0.25">
      <c r="A168" s="2">
        <v>44130</v>
      </c>
      <c r="B168" s="1">
        <v>339.39001500000001</v>
      </c>
      <c r="C168">
        <v>1902</v>
      </c>
      <c r="D168">
        <v>210.08000200000001</v>
      </c>
      <c r="E168" s="35">
        <v>95.910004000000001</v>
      </c>
      <c r="G168" s="13">
        <f t="shared" si="11"/>
        <v>-1.8479912136271277E-2</v>
      </c>
      <c r="H168" s="13">
        <f t="shared" si="8"/>
        <v>4.734227612235951E-4</v>
      </c>
      <c r="I168" s="13">
        <f t="shared" si="9"/>
        <v>-2.8441909604438011E-2</v>
      </c>
      <c r="J168" s="13">
        <f t="shared" si="10"/>
        <v>9.3930285952836074E-4</v>
      </c>
    </row>
    <row r="169" spans="1:10" x14ac:dyDescent="0.25">
      <c r="A169" s="2">
        <v>44127</v>
      </c>
      <c r="B169" s="1">
        <v>345.77999899999998</v>
      </c>
      <c r="C169">
        <v>1901.099976</v>
      </c>
      <c r="D169">
        <v>216.229996</v>
      </c>
      <c r="E169" s="35">
        <v>95.82</v>
      </c>
      <c r="G169" s="13">
        <f t="shared" si="11"/>
        <v>3.3951831082317031E-3</v>
      </c>
      <c r="H169" s="13">
        <f t="shared" si="8"/>
        <v>-1.2210329571364392E-2</v>
      </c>
      <c r="I169" s="13">
        <f t="shared" si="9"/>
        <v>6.2357345908871775E-3</v>
      </c>
      <c r="J169" s="13">
        <f t="shared" si="10"/>
        <v>9.4011278783723404E-4</v>
      </c>
    </row>
    <row r="170" spans="1:10" x14ac:dyDescent="0.25">
      <c r="A170" s="2">
        <v>44126</v>
      </c>
      <c r="B170" s="1">
        <v>344.60998499999999</v>
      </c>
      <c r="C170">
        <v>1924.599976</v>
      </c>
      <c r="D170">
        <v>214.88999899999999</v>
      </c>
      <c r="E170" s="35">
        <v>95.730002999999996</v>
      </c>
      <c r="G170" s="13">
        <f t="shared" si="11"/>
        <v>5.4852914529273725E-3</v>
      </c>
      <c r="H170" s="13">
        <f t="shared" si="8"/>
        <v>7.432973105950892E-3</v>
      </c>
      <c r="I170" s="13">
        <f t="shared" si="9"/>
        <v>4.1897578558220544E-4</v>
      </c>
      <c r="J170" s="13">
        <f t="shared" si="10"/>
        <v>-3.1327275870361471E-4</v>
      </c>
    </row>
    <row r="171" spans="1:10" x14ac:dyDescent="0.25">
      <c r="A171" s="2">
        <v>44125</v>
      </c>
      <c r="B171" s="1">
        <v>342.73001099999999</v>
      </c>
      <c r="C171">
        <v>1910.400024</v>
      </c>
      <c r="D171">
        <v>214.800003</v>
      </c>
      <c r="E171" s="35">
        <v>95.760002</v>
      </c>
      <c r="G171" s="13">
        <f t="shared" si="11"/>
        <v>-1.8929290888675724E-3</v>
      </c>
      <c r="H171" s="13">
        <f t="shared" si="8"/>
        <v>2.098195525410883E-3</v>
      </c>
      <c r="I171" s="13">
        <f t="shared" si="9"/>
        <v>6.9885396782266569E-4</v>
      </c>
      <c r="J171" s="13">
        <f t="shared" si="10"/>
        <v>-5.2182445510533303E-4</v>
      </c>
    </row>
    <row r="172" spans="1:10" x14ac:dyDescent="0.25">
      <c r="A172" s="2">
        <v>44124</v>
      </c>
      <c r="B172" s="1">
        <v>343.38000499999998</v>
      </c>
      <c r="C172">
        <v>1906.400024</v>
      </c>
      <c r="D172">
        <v>214.64999399999999</v>
      </c>
      <c r="E172" s="35">
        <v>95.809997999999993</v>
      </c>
      <c r="G172" s="13">
        <f t="shared" si="11"/>
        <v>4.0057160900055537E-3</v>
      </c>
      <c r="H172" s="13">
        <f t="shared" si="8"/>
        <v>2.9461147178243188E-3</v>
      </c>
      <c r="I172" s="13">
        <f t="shared" si="9"/>
        <v>2.0072495471606133E-3</v>
      </c>
      <c r="J172" s="13">
        <f t="shared" si="10"/>
        <v>-1.2509329719588627E-3</v>
      </c>
    </row>
    <row r="173" spans="1:10" x14ac:dyDescent="0.25">
      <c r="A173" s="2">
        <v>44123</v>
      </c>
      <c r="B173" s="1">
        <v>342.01001000000002</v>
      </c>
      <c r="C173">
        <v>1900.8000489999999</v>
      </c>
      <c r="D173">
        <v>214.220001</v>
      </c>
      <c r="E173" s="35">
        <v>95.93</v>
      </c>
      <c r="G173" s="13">
        <f t="shared" si="11"/>
        <v>-1.5203429016583012E-2</v>
      </c>
      <c r="H173" s="13">
        <f t="shared" si="8"/>
        <v>-1.2609825881611273E-3</v>
      </c>
      <c r="I173" s="13">
        <f t="shared" si="9"/>
        <v>-2.4765559960565196E-2</v>
      </c>
      <c r="J173" s="13">
        <f t="shared" si="10"/>
        <v>-1.2493804919506038E-3</v>
      </c>
    </row>
    <row r="174" spans="1:10" x14ac:dyDescent="0.25">
      <c r="A174" s="2">
        <v>44120</v>
      </c>
      <c r="B174" s="1">
        <v>347.290009</v>
      </c>
      <c r="C174">
        <v>1903.1999510000001</v>
      </c>
      <c r="D174">
        <v>219.66000399999999</v>
      </c>
      <c r="E174" s="35">
        <v>96.050003000000004</v>
      </c>
      <c r="G174" s="13">
        <f t="shared" si="11"/>
        <v>-6.0429064748202086E-4</v>
      </c>
      <c r="H174" s="13">
        <f t="shared" si="8"/>
        <v>9.9926468786416724E-4</v>
      </c>
      <c r="I174" s="13">
        <f t="shared" si="9"/>
        <v>0</v>
      </c>
      <c r="J174" s="13">
        <f t="shared" si="10"/>
        <v>2.0830990532448232E-4</v>
      </c>
    </row>
    <row r="175" spans="1:10" x14ac:dyDescent="0.25">
      <c r="A175" s="2">
        <v>44119</v>
      </c>
      <c r="B175" s="1">
        <v>347.5</v>
      </c>
      <c r="C175">
        <v>1901.3000489999999</v>
      </c>
      <c r="D175">
        <v>219.66000399999999</v>
      </c>
      <c r="E175" s="35">
        <v>96.029999000000004</v>
      </c>
      <c r="G175" s="13">
        <f t="shared" si="11"/>
        <v>-1.2358606864916772E-3</v>
      </c>
      <c r="H175" s="13">
        <f t="shared" si="8"/>
        <v>6.777891977760098E-3</v>
      </c>
      <c r="I175" s="13">
        <f t="shared" si="9"/>
        <v>-5.4332925589365751E-3</v>
      </c>
      <c r="J175" s="13">
        <f t="shared" si="10"/>
        <v>-1.6634057248486513E-3</v>
      </c>
    </row>
    <row r="176" spans="1:10" x14ac:dyDescent="0.25">
      <c r="A176" s="2">
        <v>44118</v>
      </c>
      <c r="B176" s="1">
        <v>347.92999300000002</v>
      </c>
      <c r="C176">
        <v>1888.5</v>
      </c>
      <c r="D176">
        <v>220.86000100000001</v>
      </c>
      <c r="E176" s="35">
        <v>96.190002000000007</v>
      </c>
      <c r="G176" s="13">
        <f t="shared" si="11"/>
        <v>-6.2834146419412365E-3</v>
      </c>
      <c r="H176" s="13">
        <f t="shared" si="8"/>
        <v>-1.7685305591677504E-2</v>
      </c>
      <c r="I176" s="13">
        <f t="shared" si="9"/>
        <v>-8.9742438796812166E-3</v>
      </c>
      <c r="J176" s="13">
        <f t="shared" si="10"/>
        <v>4.1601663201219958E-4</v>
      </c>
    </row>
    <row r="177" spans="1:10" x14ac:dyDescent="0.25">
      <c r="A177" s="2">
        <v>44117</v>
      </c>
      <c r="B177" s="1">
        <v>350.13000499999998</v>
      </c>
      <c r="C177">
        <v>1922.5</v>
      </c>
      <c r="D177">
        <v>222.86000100000001</v>
      </c>
      <c r="E177" s="35">
        <v>96.150002000000001</v>
      </c>
      <c r="G177" s="13">
        <f t="shared" si="11"/>
        <v>-6.5260847421690395E-3</v>
      </c>
      <c r="H177" s="13">
        <f t="shared" si="8"/>
        <v>1.5629070070330815E-3</v>
      </c>
      <c r="I177" s="13">
        <f t="shared" si="9"/>
        <v>6.594431073019897E-3</v>
      </c>
      <c r="J177" s="13">
        <f t="shared" si="10"/>
        <v>-1.1427383930451137E-3</v>
      </c>
    </row>
    <row r="178" spans="1:10" x14ac:dyDescent="0.25">
      <c r="A178" s="2">
        <v>44116</v>
      </c>
      <c r="B178" s="1">
        <v>352.42999300000002</v>
      </c>
      <c r="C178">
        <v>1919.5</v>
      </c>
      <c r="D178">
        <v>221.39999399999999</v>
      </c>
      <c r="E178" s="35">
        <v>96.260002</v>
      </c>
      <c r="G178" s="13">
        <f t="shared" si="11"/>
        <v>1.608760819799443E-2</v>
      </c>
      <c r="H178" s="13">
        <f t="shared" si="8"/>
        <v>1.6361338765578822E-2</v>
      </c>
      <c r="I178" s="13">
        <f t="shared" si="9"/>
        <v>2.590239586583002E-2</v>
      </c>
      <c r="J178" s="13">
        <f t="shared" si="10"/>
        <v>3.3354179000329096E-3</v>
      </c>
    </row>
    <row r="179" spans="1:10" x14ac:dyDescent="0.25">
      <c r="A179" s="2">
        <v>44113</v>
      </c>
      <c r="B179" s="1">
        <v>346.85000600000001</v>
      </c>
      <c r="C179">
        <v>1888.599976</v>
      </c>
      <c r="D179">
        <v>215.80999800000001</v>
      </c>
      <c r="E179" s="35">
        <v>95.940002000000007</v>
      </c>
      <c r="G179" s="13">
        <f t="shared" si="11"/>
        <v>8.9301501219680689E-3</v>
      </c>
      <c r="H179" s="13">
        <f t="shared" si="8"/>
        <v>2.6544914332702241E-3</v>
      </c>
      <c r="I179" s="13">
        <f t="shared" si="9"/>
        <v>2.4836147546432256E-2</v>
      </c>
      <c r="J179" s="13">
        <f t="shared" si="10"/>
        <v>1.0434683240179558E-3</v>
      </c>
    </row>
    <row r="180" spans="1:10" x14ac:dyDescent="0.25">
      <c r="A180" s="2">
        <v>44112</v>
      </c>
      <c r="B180" s="1">
        <v>343.77999899999998</v>
      </c>
      <c r="C180">
        <v>1883.599976</v>
      </c>
      <c r="D180">
        <v>210.58000200000001</v>
      </c>
      <c r="E180" s="35">
        <v>95.839995999999999</v>
      </c>
      <c r="G180" s="13">
        <f t="shared" si="11"/>
        <v>8.8625100110777452E-3</v>
      </c>
      <c r="H180" s="13">
        <f t="shared" si="8"/>
        <v>-9.2051971074245068E-3</v>
      </c>
      <c r="I180" s="13">
        <f t="shared" si="9"/>
        <v>3.5743220361786014E-3</v>
      </c>
      <c r="J180" s="13">
        <f t="shared" si="10"/>
        <v>2.1959532216653346E-3</v>
      </c>
    </row>
    <row r="181" spans="1:10" x14ac:dyDescent="0.25">
      <c r="A181" s="2">
        <v>44111</v>
      </c>
      <c r="B181" s="1">
        <v>340.76001000000002</v>
      </c>
      <c r="C181">
        <v>1901.099976</v>
      </c>
      <c r="D181">
        <v>209.83000200000001</v>
      </c>
      <c r="E181" s="35">
        <v>95.629997000000003</v>
      </c>
      <c r="G181" s="13">
        <f t="shared" si="11"/>
        <v>1.7406673399954352E-2</v>
      </c>
      <c r="H181" s="13">
        <f t="shared" si="8"/>
        <v>-5.960796862745114E-3</v>
      </c>
      <c r="I181" s="13">
        <f t="shared" si="9"/>
        <v>1.9037433460493844E-2</v>
      </c>
      <c r="J181" s="13">
        <f t="shared" si="10"/>
        <v>-5.2260660535121013E-4</v>
      </c>
    </row>
    <row r="182" spans="1:10" x14ac:dyDescent="0.25">
      <c r="A182" s="2">
        <v>44110</v>
      </c>
      <c r="B182" s="1">
        <v>334.92999300000002</v>
      </c>
      <c r="C182">
        <v>1912.5</v>
      </c>
      <c r="D182">
        <v>205.91000399999999</v>
      </c>
      <c r="E182" s="35">
        <v>95.68</v>
      </c>
      <c r="G182" s="13">
        <f t="shared" si="11"/>
        <v>-1.4215966734872647E-2</v>
      </c>
      <c r="H182" s="13">
        <f t="shared" si="8"/>
        <v>6.4730287954838199E-3</v>
      </c>
      <c r="I182" s="13">
        <f t="shared" si="9"/>
        <v>-2.1247271098791088E-2</v>
      </c>
      <c r="J182" s="13">
        <f t="shared" si="10"/>
        <v>6.2745239612688414E-4</v>
      </c>
    </row>
    <row r="183" spans="1:10" x14ac:dyDescent="0.25">
      <c r="A183" s="2">
        <v>44109</v>
      </c>
      <c r="B183" s="1">
        <v>339.76001000000002</v>
      </c>
      <c r="C183">
        <v>1900.1999510000001</v>
      </c>
      <c r="D183">
        <v>210.38000500000001</v>
      </c>
      <c r="E183" s="35">
        <v>95.620002999999997</v>
      </c>
      <c r="G183" s="13">
        <f t="shared" si="11"/>
        <v>1.7733087919160045E-2</v>
      </c>
      <c r="H183" s="13">
        <f t="shared" si="8"/>
        <v>-4.2968313230329191E-3</v>
      </c>
      <c r="I183" s="13">
        <f t="shared" si="9"/>
        <v>2.0321077449720469E-2</v>
      </c>
      <c r="J183" s="13">
        <f t="shared" si="10"/>
        <v>-2.5036302680614404E-3</v>
      </c>
    </row>
    <row r="184" spans="1:10" x14ac:dyDescent="0.25">
      <c r="A184" s="2">
        <v>44106</v>
      </c>
      <c r="B184" s="1">
        <v>333.83999599999999</v>
      </c>
      <c r="C184">
        <v>1908.400024</v>
      </c>
      <c r="D184">
        <v>206.19000199999999</v>
      </c>
      <c r="E184" s="35">
        <v>95.860000999999997</v>
      </c>
      <c r="G184" s="13">
        <f t="shared" si="11"/>
        <v>-9.4944603446174627E-3</v>
      </c>
      <c r="H184" s="13">
        <f t="shared" si="8"/>
        <v>1.107286039735101E-2</v>
      </c>
      <c r="I184" s="13">
        <f t="shared" si="9"/>
        <v>-2.9511460008565273E-2</v>
      </c>
      <c r="J184" s="13">
        <f t="shared" si="10"/>
        <v>1.0436098287657285E-4</v>
      </c>
    </row>
    <row r="185" spans="1:10" x14ac:dyDescent="0.25">
      <c r="A185" s="2">
        <v>44105</v>
      </c>
      <c r="B185" s="1">
        <v>337.040009</v>
      </c>
      <c r="C185">
        <v>1887.5</v>
      </c>
      <c r="D185">
        <v>212.46000699999999</v>
      </c>
      <c r="E185" s="35">
        <v>95.849997999999999</v>
      </c>
      <c r="G185" s="13">
        <f t="shared" si="11"/>
        <v>6.4200003096538793E-3</v>
      </c>
      <c r="H185" s="13">
        <f t="shared" si="8"/>
        <v>-3.5897422921937244E-3</v>
      </c>
      <c r="I185" s="13">
        <f t="shared" si="9"/>
        <v>1.0126967050568387E-2</v>
      </c>
      <c r="J185" s="13">
        <f t="shared" si="10"/>
        <v>5.2186845964916691E-4</v>
      </c>
    </row>
    <row r="186" spans="1:10" x14ac:dyDescent="0.25">
      <c r="A186" s="2">
        <v>44104</v>
      </c>
      <c r="B186" s="1">
        <v>334.89001500000001</v>
      </c>
      <c r="C186">
        <v>1894.3000489999999</v>
      </c>
      <c r="D186">
        <v>210.33000200000001</v>
      </c>
      <c r="E186" s="35">
        <v>95.800003000000004</v>
      </c>
      <c r="G186" s="13">
        <f t="shared" si="11"/>
        <v>7.581972012846671E-3</v>
      </c>
      <c r="H186" s="13">
        <f t="shared" si="8"/>
        <v>1.1480136393353971E-2</v>
      </c>
      <c r="I186" s="13">
        <f t="shared" si="9"/>
        <v>1.4812347168106435E-2</v>
      </c>
      <c r="J186" s="13">
        <f t="shared" si="10"/>
        <v>-7.30155395947919E-4</v>
      </c>
    </row>
    <row r="187" spans="1:10" x14ac:dyDescent="0.25">
      <c r="A187" s="2">
        <v>44103</v>
      </c>
      <c r="B187" s="1">
        <v>332.36999500000002</v>
      </c>
      <c r="C187">
        <v>1872.8000489999999</v>
      </c>
      <c r="D187">
        <v>207.259995</v>
      </c>
      <c r="E187" s="35">
        <v>95.870002999999997</v>
      </c>
      <c r="G187" s="13">
        <f t="shared" si="11"/>
        <v>-5.4460246838861914E-3</v>
      </c>
      <c r="H187" s="13">
        <f t="shared" si="8"/>
        <v>8.1283836993544106E-3</v>
      </c>
      <c r="I187" s="13">
        <f t="shared" si="9"/>
        <v>-1.0408742261184611E-2</v>
      </c>
      <c r="J187" s="13">
        <f t="shared" si="10"/>
        <v>-3.1281542621869454E-4</v>
      </c>
    </row>
    <row r="188" spans="1:10" x14ac:dyDescent="0.25">
      <c r="A188" s="2">
        <v>44102</v>
      </c>
      <c r="B188" s="1">
        <v>334.19000199999999</v>
      </c>
      <c r="C188">
        <v>1857.6999510000001</v>
      </c>
      <c r="D188">
        <v>209.44000199999999</v>
      </c>
      <c r="E188" s="35">
        <v>95.900002000000001</v>
      </c>
      <c r="G188" s="13">
        <f t="shared" si="11"/>
        <v>1.6609347541438807E-2</v>
      </c>
      <c r="H188" s="13">
        <f t="shared" si="8"/>
        <v>-5.6736593277260513E-3</v>
      </c>
      <c r="I188" s="13">
        <f t="shared" si="9"/>
        <v>7.795183069164215E-3</v>
      </c>
      <c r="J188" s="13">
        <f t="shared" si="10"/>
        <v>3.5580159807036367E-3</v>
      </c>
    </row>
    <row r="189" spans="1:10" x14ac:dyDescent="0.25">
      <c r="A189" s="2">
        <v>44099</v>
      </c>
      <c r="B189" s="1">
        <v>328.73001099999999</v>
      </c>
      <c r="C189">
        <v>1868.3000489999999</v>
      </c>
      <c r="D189">
        <v>207.820007</v>
      </c>
      <c r="E189" s="35">
        <v>95.559997999999993</v>
      </c>
      <c r="G189" s="13">
        <f t="shared" si="11"/>
        <v>1.616695826893351E-2</v>
      </c>
      <c r="H189" s="13">
        <f t="shared" si="8"/>
        <v>4.5163852312525773E-3</v>
      </c>
      <c r="I189" s="13">
        <f t="shared" si="9"/>
        <v>2.2786578839641979E-2</v>
      </c>
      <c r="J189" s="13">
        <f t="shared" si="10"/>
        <v>-4.1841005059441795E-4</v>
      </c>
    </row>
    <row r="190" spans="1:10" x14ac:dyDescent="0.25">
      <c r="A190" s="2">
        <v>44098</v>
      </c>
      <c r="B190" s="1">
        <v>323.5</v>
      </c>
      <c r="C190">
        <v>1859.900024</v>
      </c>
      <c r="D190">
        <v>203.19000199999999</v>
      </c>
      <c r="E190" s="35">
        <v>95.599997999999999</v>
      </c>
      <c r="G190" s="13">
        <f t="shared" si="11"/>
        <v>2.665462930876676E-3</v>
      </c>
      <c r="H190" s="13">
        <f t="shared" si="8"/>
        <v>-2.0383415405668341E-2</v>
      </c>
      <c r="I190" s="13">
        <f t="shared" si="9"/>
        <v>1.296179296997433E-2</v>
      </c>
      <c r="J190" s="13">
        <f t="shared" si="10"/>
        <v>-1.8793172048373512E-3</v>
      </c>
    </row>
    <row r="191" spans="1:10" x14ac:dyDescent="0.25">
      <c r="A191" s="2">
        <v>44097</v>
      </c>
      <c r="B191" s="1">
        <v>322.64001500000001</v>
      </c>
      <c r="C191">
        <v>1898.599976</v>
      </c>
      <c r="D191">
        <v>200.58999600000001</v>
      </c>
      <c r="E191" s="35">
        <v>95.779999000000004</v>
      </c>
      <c r="G191" s="13">
        <f t="shared" si="11"/>
        <v>-2.3190957548566364E-2</v>
      </c>
      <c r="H191" s="13">
        <f t="shared" si="8"/>
        <v>-1.3675442178675322E-3</v>
      </c>
      <c r="I191" s="13">
        <f t="shared" si="9"/>
        <v>-3.2928367880902108E-2</v>
      </c>
      <c r="J191" s="13">
        <f t="shared" si="10"/>
        <v>-4.6763377945648905E-3</v>
      </c>
    </row>
    <row r="192" spans="1:10" x14ac:dyDescent="0.25">
      <c r="A192" s="2">
        <v>44096</v>
      </c>
      <c r="B192" s="1">
        <v>330.29998799999998</v>
      </c>
      <c r="C192">
        <v>1901.1999510000001</v>
      </c>
      <c r="D192">
        <v>207.41999799999999</v>
      </c>
      <c r="E192" s="35">
        <v>96.230002999999996</v>
      </c>
      <c r="G192" s="13">
        <f t="shared" si="11"/>
        <v>1.0184380798897694E-2</v>
      </c>
      <c r="H192" s="13">
        <f t="shared" si="8"/>
        <v>-2.6074497016437603E-2</v>
      </c>
      <c r="I192" s="13">
        <f t="shared" si="9"/>
        <v>2.4094031641444674E-2</v>
      </c>
      <c r="J192" s="13">
        <f t="shared" si="10"/>
        <v>0</v>
      </c>
    </row>
    <row r="193" spans="1:10" x14ac:dyDescent="0.25">
      <c r="A193" s="2">
        <v>44095</v>
      </c>
      <c r="B193" s="1">
        <v>326.97000100000002</v>
      </c>
      <c r="C193">
        <v>1952.099976</v>
      </c>
      <c r="D193">
        <v>202.53999300000001</v>
      </c>
      <c r="E193" s="35">
        <v>96.230002999999996</v>
      </c>
      <c r="G193" s="13">
        <f t="shared" si="11"/>
        <v>-1.1129572257001062E-2</v>
      </c>
      <c r="H193" s="13">
        <f t="shared" si="8"/>
        <v>6.2371010309278194E-3</v>
      </c>
      <c r="I193" s="13">
        <f t="shared" si="9"/>
        <v>1.0729048409247315E-2</v>
      </c>
      <c r="J193" s="13">
        <f t="shared" si="10"/>
        <v>-6.2309688832599887E-4</v>
      </c>
    </row>
    <row r="194" spans="1:10" x14ac:dyDescent="0.25">
      <c r="A194" s="2">
        <v>44092</v>
      </c>
      <c r="B194" s="1">
        <v>330.64999399999999</v>
      </c>
      <c r="C194">
        <v>1940</v>
      </c>
      <c r="D194">
        <v>200.38999899999999</v>
      </c>
      <c r="E194" s="35">
        <v>96.290001000000004</v>
      </c>
      <c r="G194" s="13">
        <f t="shared" si="11"/>
        <v>-1.5453793657143781E-2</v>
      </c>
      <c r="H194" s="13">
        <f t="shared" ref="H194:H253" si="12">(C194-C195)/C195</f>
        <v>-1.0305046171282174E-2</v>
      </c>
      <c r="I194" s="13">
        <f t="shared" ref="I194:I253" si="13">(D194-D195)/D195</f>
        <v>-1.2419323593330558E-2</v>
      </c>
      <c r="J194" s="13">
        <f t="shared" ref="J194:J253" si="14">(E194-E195)/E195</f>
        <v>-9.3376222039101434E-4</v>
      </c>
    </row>
    <row r="195" spans="1:10" x14ac:dyDescent="0.25">
      <c r="A195" s="2">
        <v>44091</v>
      </c>
      <c r="B195" s="1">
        <v>335.83999599999999</v>
      </c>
      <c r="C195">
        <v>1960.1999510000001</v>
      </c>
      <c r="D195">
        <v>202.91000399999999</v>
      </c>
      <c r="E195" s="35">
        <v>96.379997000000003</v>
      </c>
      <c r="G195" s="13">
        <f t="shared" ref="G195:G253" si="15">(B195-B196)/B196</f>
        <v>-8.795262789779679E-3</v>
      </c>
      <c r="H195" s="13">
        <f t="shared" si="12"/>
        <v>1.9935091255524019E-3</v>
      </c>
      <c r="I195" s="13">
        <f t="shared" si="13"/>
        <v>-1.0436473878032653E-2</v>
      </c>
      <c r="J195" s="13">
        <f t="shared" si="14"/>
        <v>-2.075207425825324E-4</v>
      </c>
    </row>
    <row r="196" spans="1:10" x14ac:dyDescent="0.25">
      <c r="A196" s="2">
        <v>44090</v>
      </c>
      <c r="B196" s="1">
        <v>338.82000699999998</v>
      </c>
      <c r="C196">
        <v>1956.3000489999999</v>
      </c>
      <c r="D196">
        <v>205.050003</v>
      </c>
      <c r="E196" s="35">
        <v>96.400002000000001</v>
      </c>
      <c r="G196" s="13">
        <f t="shared" si="15"/>
        <v>-3.968621419901606E-3</v>
      </c>
      <c r="H196" s="13">
        <f t="shared" si="12"/>
        <v>1.6384583684004791E-3</v>
      </c>
      <c r="I196" s="13">
        <f t="shared" si="13"/>
        <v>-1.7865676874536243E-2</v>
      </c>
      <c r="J196" s="13">
        <f t="shared" si="14"/>
        <v>3.1128981079313301E-4</v>
      </c>
    </row>
    <row r="197" spans="1:10" x14ac:dyDescent="0.25">
      <c r="A197" s="2">
        <v>44089</v>
      </c>
      <c r="B197" s="1">
        <v>340.17001299999998</v>
      </c>
      <c r="C197">
        <v>1953.099976</v>
      </c>
      <c r="D197">
        <v>208.779999</v>
      </c>
      <c r="E197" s="35">
        <v>96.370002999999997</v>
      </c>
      <c r="G197" s="13">
        <f t="shared" si="15"/>
        <v>5.0523608268960235E-3</v>
      </c>
      <c r="H197" s="13">
        <f t="shared" si="12"/>
        <v>7.8955137852822019E-3</v>
      </c>
      <c r="I197" s="13">
        <f t="shared" si="13"/>
        <v>1.640618730526882E-2</v>
      </c>
      <c r="J197" s="13">
        <f t="shared" si="14"/>
        <v>1.1427487815759334E-3</v>
      </c>
    </row>
    <row r="198" spans="1:10" x14ac:dyDescent="0.25">
      <c r="A198" s="2">
        <v>44088</v>
      </c>
      <c r="B198" s="1">
        <v>338.459991</v>
      </c>
      <c r="C198">
        <v>1937.8000489999999</v>
      </c>
      <c r="D198">
        <v>205.41000399999999</v>
      </c>
      <c r="E198" s="35">
        <v>96.260002</v>
      </c>
      <c r="G198" s="13">
        <f t="shared" si="15"/>
        <v>1.3171265719758506E-2</v>
      </c>
      <c r="H198" s="13">
        <f t="shared" si="12"/>
        <v>-8.3921310056363375E-3</v>
      </c>
      <c r="I198" s="13">
        <f t="shared" si="13"/>
        <v>6.7637357582890677E-3</v>
      </c>
      <c r="J198" s="13">
        <f t="shared" si="14"/>
        <v>1.4565022433468203E-3</v>
      </c>
    </row>
    <row r="199" spans="1:10" x14ac:dyDescent="0.25">
      <c r="A199" s="2">
        <v>44085</v>
      </c>
      <c r="B199" s="1">
        <v>334.05999800000001</v>
      </c>
      <c r="C199">
        <v>1954.1999510000001</v>
      </c>
      <c r="D199">
        <v>204.029999</v>
      </c>
      <c r="E199" s="35">
        <v>96.120002999999997</v>
      </c>
      <c r="G199" s="13">
        <f t="shared" si="15"/>
        <v>5.0909878212441302E-4</v>
      </c>
      <c r="H199" s="13">
        <f t="shared" si="12"/>
        <v>4.8850723707350987E-3</v>
      </c>
      <c r="I199" s="13">
        <f t="shared" si="13"/>
        <v>-6.5247895633438815E-3</v>
      </c>
      <c r="J199" s="13">
        <f t="shared" si="14"/>
        <v>4.1633013288242573E-4</v>
      </c>
    </row>
    <row r="200" spans="1:10" x14ac:dyDescent="0.25">
      <c r="A200" s="2">
        <v>44084</v>
      </c>
      <c r="B200" s="1">
        <v>333.89001500000001</v>
      </c>
      <c r="C200">
        <v>1944.6999510000001</v>
      </c>
      <c r="D200">
        <v>205.36999499999999</v>
      </c>
      <c r="E200" s="35">
        <v>96.080001999999993</v>
      </c>
      <c r="G200" s="13">
        <f t="shared" si="15"/>
        <v>-1.7363647675703121E-2</v>
      </c>
      <c r="H200" s="13">
        <f t="shared" si="12"/>
        <v>6.052742369374059E-3</v>
      </c>
      <c r="I200" s="13">
        <f t="shared" si="13"/>
        <v>-2.801835484939422E-2</v>
      </c>
      <c r="J200" s="13">
        <f t="shared" si="14"/>
        <v>0</v>
      </c>
    </row>
    <row r="201" spans="1:10" x14ac:dyDescent="0.25">
      <c r="A201" s="2">
        <v>44083</v>
      </c>
      <c r="B201" s="1">
        <v>339.790009</v>
      </c>
      <c r="C201">
        <v>1933</v>
      </c>
      <c r="D201">
        <v>211.28999300000001</v>
      </c>
      <c r="E201" s="35">
        <v>96.080001999999993</v>
      </c>
      <c r="G201" s="13">
        <f t="shared" si="15"/>
        <v>1.974736105676974E-2</v>
      </c>
      <c r="H201" s="13">
        <f t="shared" si="12"/>
        <v>4.7299630367902993E-3</v>
      </c>
      <c r="I201" s="13">
        <f t="shared" si="13"/>
        <v>4.2583582501064317E-2</v>
      </c>
      <c r="J201" s="13">
        <f t="shared" si="14"/>
        <v>1.0418732743735885E-3</v>
      </c>
    </row>
    <row r="202" spans="1:10" x14ac:dyDescent="0.25">
      <c r="A202" s="2">
        <v>44082</v>
      </c>
      <c r="B202" s="1">
        <v>333.209991</v>
      </c>
      <c r="C202">
        <v>1923.900024</v>
      </c>
      <c r="D202">
        <v>202.66000399999999</v>
      </c>
      <c r="E202" s="35">
        <v>95.980002999999996</v>
      </c>
      <c r="G202" s="13">
        <f t="shared" si="15"/>
        <v>-2.7322929061912807E-2</v>
      </c>
      <c r="H202" s="13">
        <f t="shared" si="12"/>
        <v>-1.9194604928755921E-3</v>
      </c>
      <c r="I202" s="13">
        <f t="shared" si="13"/>
        <v>-5.4095663943990728E-2</v>
      </c>
      <c r="J202" s="13">
        <f t="shared" si="14"/>
        <v>-2.0830208333337077E-4</v>
      </c>
    </row>
    <row r="203" spans="1:10" x14ac:dyDescent="0.25">
      <c r="A203" s="2">
        <v>44078</v>
      </c>
      <c r="B203" s="1">
        <v>342.57000699999998</v>
      </c>
      <c r="C203">
        <v>1927.599976</v>
      </c>
      <c r="D203">
        <v>214.25</v>
      </c>
      <c r="E203" s="35">
        <v>96</v>
      </c>
      <c r="G203" s="13">
        <f t="shared" si="15"/>
        <v>-8.1647062090084727E-3</v>
      </c>
      <c r="H203" s="13">
        <f t="shared" si="12"/>
        <v>-3.5153266726800146E-3</v>
      </c>
      <c r="I203" s="13">
        <f t="shared" si="13"/>
        <v>-1.4035908687953418E-2</v>
      </c>
      <c r="J203" s="13">
        <f t="shared" si="14"/>
        <v>-5.5935466584468305E-3</v>
      </c>
    </row>
    <row r="204" spans="1:10" x14ac:dyDescent="0.25">
      <c r="A204" s="2">
        <v>44077</v>
      </c>
      <c r="B204" s="1">
        <v>345.39001500000001</v>
      </c>
      <c r="C204">
        <v>1934.400024</v>
      </c>
      <c r="D204">
        <v>217.300003</v>
      </c>
      <c r="E204" s="35">
        <v>96.540001000000004</v>
      </c>
      <c r="G204" s="13">
        <f t="shared" si="15"/>
        <v>-3.4414304129237794E-2</v>
      </c>
      <c r="H204" s="13">
        <f t="shared" si="12"/>
        <v>-1.7173014856964614E-2</v>
      </c>
      <c r="I204" s="13">
        <f t="shared" si="13"/>
        <v>-6.1946865407645935E-2</v>
      </c>
      <c r="J204" s="13">
        <f t="shared" si="14"/>
        <v>-1.0347475272635233E-3</v>
      </c>
    </row>
    <row r="205" spans="1:10" x14ac:dyDescent="0.25">
      <c r="A205" s="2">
        <v>44076</v>
      </c>
      <c r="B205" s="1">
        <v>357.70001200000002</v>
      </c>
      <c r="C205">
        <v>1968.1999510000001</v>
      </c>
      <c r="D205">
        <v>231.64999399999999</v>
      </c>
      <c r="E205" s="35">
        <v>96.639999000000003</v>
      </c>
      <c r="G205" s="13">
        <f t="shared" si="15"/>
        <v>1.4463998619444174E-2</v>
      </c>
      <c r="H205" s="13">
        <f t="shared" si="12"/>
        <v>3.0492732634597566E-4</v>
      </c>
      <c r="I205" s="13">
        <f t="shared" si="13"/>
        <v>1.9272186927052602E-2</v>
      </c>
      <c r="J205" s="13">
        <f t="shared" si="14"/>
        <v>2.4895953840333163E-3</v>
      </c>
    </row>
    <row r="206" spans="1:10" x14ac:dyDescent="0.25">
      <c r="A206" s="2">
        <v>44075</v>
      </c>
      <c r="B206" s="1">
        <v>352.60000600000001</v>
      </c>
      <c r="C206">
        <v>1967.599976</v>
      </c>
      <c r="D206">
        <v>227.270004</v>
      </c>
      <c r="E206" s="35">
        <v>96.400002000000001</v>
      </c>
      <c r="G206" s="13">
        <f t="shared" si="15"/>
        <v>9.4185909903443422E-3</v>
      </c>
      <c r="H206" s="13">
        <f t="shared" si="12"/>
        <v>1.527028421382817E-3</v>
      </c>
      <c r="I206" s="13">
        <f t="shared" si="13"/>
        <v>7.7151820499054601E-3</v>
      </c>
      <c r="J206" s="13">
        <f t="shared" si="14"/>
        <v>1.0377632642155688E-4</v>
      </c>
    </row>
    <row r="207" spans="1:10" x14ac:dyDescent="0.25">
      <c r="A207" s="2">
        <v>44074</v>
      </c>
      <c r="B207" s="1">
        <v>349.30999800000001</v>
      </c>
      <c r="C207">
        <v>1964.599976</v>
      </c>
      <c r="D207">
        <v>225.529999</v>
      </c>
      <c r="E207" s="35">
        <v>96.389999000000003</v>
      </c>
      <c r="G207" s="13">
        <f t="shared" si="15"/>
        <v>-3.622537073115955E-3</v>
      </c>
      <c r="H207" s="13">
        <f t="shared" si="12"/>
        <v>2.2377185958083089E-2</v>
      </c>
      <c r="I207" s="13">
        <f t="shared" si="13"/>
        <v>-1.4765649997542192E-2</v>
      </c>
      <c r="J207" s="13">
        <f t="shared" si="14"/>
        <v>3.0177003749781942E-3</v>
      </c>
    </row>
    <row r="208" spans="1:10" x14ac:dyDescent="0.25">
      <c r="A208" s="2">
        <v>44071</v>
      </c>
      <c r="B208" s="1">
        <v>350.57998700000002</v>
      </c>
      <c r="C208">
        <v>1921.599976</v>
      </c>
      <c r="D208">
        <v>228.91000399999999</v>
      </c>
      <c r="E208" s="35">
        <v>96.099997999999999</v>
      </c>
      <c r="G208" s="13">
        <f t="shared" si="15"/>
        <v>6.4593921969744164E-3</v>
      </c>
      <c r="H208" s="13">
        <f t="shared" si="12"/>
        <v>-9.841797022851621E-3</v>
      </c>
      <c r="I208" s="13">
        <f t="shared" si="13"/>
        <v>1.0283352367522616E-2</v>
      </c>
      <c r="J208" s="13">
        <f t="shared" si="14"/>
        <v>2.2945453367087228E-3</v>
      </c>
    </row>
    <row r="209" spans="1:10" x14ac:dyDescent="0.25">
      <c r="A209" s="2">
        <v>44070</v>
      </c>
      <c r="B209" s="1">
        <v>348.32998700000002</v>
      </c>
      <c r="C209">
        <v>1940.6999510000001</v>
      </c>
      <c r="D209">
        <v>226.58000200000001</v>
      </c>
      <c r="E209" s="35">
        <v>95.879997000000003</v>
      </c>
      <c r="G209" s="13">
        <f t="shared" si="15"/>
        <v>2.1865523051304062E-3</v>
      </c>
      <c r="H209" s="13">
        <f t="shared" si="12"/>
        <v>1.5116592352383662E-2</v>
      </c>
      <c r="I209" s="13">
        <f t="shared" si="13"/>
        <v>2.4553507335840195E-2</v>
      </c>
      <c r="J209" s="13">
        <f t="shared" si="14"/>
        <v>-2.9118863181411439E-3</v>
      </c>
    </row>
    <row r="210" spans="1:10" x14ac:dyDescent="0.25">
      <c r="A210" s="2">
        <v>44069</v>
      </c>
      <c r="B210" s="1">
        <v>347.57000699999998</v>
      </c>
      <c r="C210">
        <v>1911.8000489999999</v>
      </c>
      <c r="D210">
        <v>221.14999399999999</v>
      </c>
      <c r="E210" s="35">
        <v>96.160004000000001</v>
      </c>
      <c r="G210" s="13">
        <f t="shared" si="15"/>
        <v>1.0025607491944658E-2</v>
      </c>
      <c r="H210" s="13">
        <f t="shared" si="12"/>
        <v>-8.2481207678362957E-3</v>
      </c>
      <c r="I210" s="13">
        <f t="shared" si="13"/>
        <v>2.1619591529451677E-2</v>
      </c>
      <c r="J210" s="13">
        <f t="shared" si="14"/>
        <v>7.2856699879560204E-4</v>
      </c>
    </row>
    <row r="211" spans="1:10" x14ac:dyDescent="0.25">
      <c r="A211" s="2">
        <v>44068</v>
      </c>
      <c r="B211" s="1">
        <v>344.11999500000002</v>
      </c>
      <c r="C211">
        <v>1927.6999510000001</v>
      </c>
      <c r="D211">
        <v>216.470001</v>
      </c>
      <c r="E211" s="35">
        <v>96.089995999999999</v>
      </c>
      <c r="G211" s="13">
        <f t="shared" si="15"/>
        <v>3.4993058279163022E-3</v>
      </c>
      <c r="H211" s="13">
        <f t="shared" si="12"/>
        <v>-3.5666417272817719E-3</v>
      </c>
      <c r="I211" s="13">
        <f t="shared" si="13"/>
        <v>1.3009494941181214E-2</v>
      </c>
      <c r="J211" s="13">
        <f t="shared" si="14"/>
        <v>-2.6985158837263294E-3</v>
      </c>
    </row>
    <row r="212" spans="1:10" x14ac:dyDescent="0.25">
      <c r="A212" s="2">
        <v>44067</v>
      </c>
      <c r="B212" s="1">
        <v>342.92001299999998</v>
      </c>
      <c r="C212">
        <v>1934.599976</v>
      </c>
      <c r="D212">
        <v>213.69000199999999</v>
      </c>
      <c r="E212" s="35">
        <v>96.349997999999999</v>
      </c>
      <c r="G212" s="13">
        <f t="shared" si="15"/>
        <v>1.0133150372732823E-2</v>
      </c>
      <c r="H212" s="13">
        <f t="shared" si="12"/>
        <v>4.1365548646752834E-4</v>
      </c>
      <c r="I212" s="13">
        <f t="shared" si="13"/>
        <v>3.1452351301241763E-3</v>
      </c>
      <c r="J212" s="13">
        <f t="shared" si="14"/>
        <v>-2.0758534167522656E-4</v>
      </c>
    </row>
    <row r="213" spans="1:10" x14ac:dyDescent="0.25">
      <c r="A213" s="2">
        <v>44064</v>
      </c>
      <c r="B213" s="1">
        <v>339.48001099999999</v>
      </c>
      <c r="C213">
        <v>1933.8000489999999</v>
      </c>
      <c r="D213">
        <v>213.020004</v>
      </c>
      <c r="E213" s="35">
        <v>96.370002999999997</v>
      </c>
      <c r="G213" s="13">
        <f t="shared" si="15"/>
        <v>3.5473927029307318E-3</v>
      </c>
      <c r="H213" s="13">
        <f t="shared" si="12"/>
        <v>-1.2712463686583362E-2</v>
      </c>
      <c r="I213" s="13">
        <f t="shared" si="13"/>
        <v>-7.2700064566128923E-3</v>
      </c>
      <c r="J213" s="13">
        <f t="shared" si="14"/>
        <v>3.1146980740997409E-4</v>
      </c>
    </row>
    <row r="214" spans="1:10" x14ac:dyDescent="0.25">
      <c r="A214" s="2">
        <v>44063</v>
      </c>
      <c r="B214" s="1">
        <v>338.27999899999998</v>
      </c>
      <c r="C214">
        <v>1958.6999510000001</v>
      </c>
      <c r="D214">
        <v>214.58000200000001</v>
      </c>
      <c r="E214" s="35">
        <v>96.339995999999999</v>
      </c>
      <c r="G214" s="13">
        <f t="shared" si="15"/>
        <v>3.11356630712201E-3</v>
      </c>
      <c r="H214" s="13">
        <f t="shared" si="12"/>
        <v>-2.0356143098655868E-2</v>
      </c>
      <c r="I214" s="13">
        <f t="shared" si="13"/>
        <v>2.3271364186047229E-2</v>
      </c>
      <c r="J214" s="13">
        <f t="shared" si="14"/>
        <v>2.0802683802815121E-3</v>
      </c>
    </row>
    <row r="215" spans="1:10" x14ac:dyDescent="0.25">
      <c r="A215" s="2">
        <v>44062</v>
      </c>
      <c r="B215" s="1">
        <v>337.23001099999999</v>
      </c>
      <c r="C215">
        <v>1999.400024</v>
      </c>
      <c r="D215">
        <v>209.699997</v>
      </c>
      <c r="E215" s="35">
        <v>96.139999000000003</v>
      </c>
      <c r="G215" s="13">
        <f t="shared" si="15"/>
        <v>-4.1637253057646333E-3</v>
      </c>
      <c r="H215" s="13">
        <f t="shared" si="12"/>
        <v>7.2544201511335164E-3</v>
      </c>
      <c r="I215" s="13">
        <f t="shared" si="13"/>
        <v>-8.46379477838681E-3</v>
      </c>
      <c r="J215" s="13">
        <f t="shared" si="14"/>
        <v>-1.1428675324675003E-3</v>
      </c>
    </row>
    <row r="216" spans="1:10" x14ac:dyDescent="0.25">
      <c r="A216" s="2">
        <v>44061</v>
      </c>
      <c r="B216" s="1">
        <v>338.64001500000001</v>
      </c>
      <c r="C216">
        <v>1985</v>
      </c>
      <c r="D216">
        <v>211.490005</v>
      </c>
      <c r="E216" s="35">
        <v>96.25</v>
      </c>
      <c r="G216" s="13">
        <f t="shared" si="15"/>
        <v>2.1603710791586695E-3</v>
      </c>
      <c r="H216" s="13">
        <f t="shared" si="12"/>
        <v>2.4780588538977799E-2</v>
      </c>
      <c r="I216" s="13">
        <f t="shared" si="13"/>
        <v>5.7542610127175849E-3</v>
      </c>
      <c r="J216" s="13">
        <f t="shared" si="14"/>
        <v>1.8736338086812411E-3</v>
      </c>
    </row>
    <row r="217" spans="1:10" x14ac:dyDescent="0.25">
      <c r="A217" s="2">
        <v>44060</v>
      </c>
      <c r="B217" s="1">
        <v>337.91000400000001</v>
      </c>
      <c r="C217">
        <v>1937</v>
      </c>
      <c r="D217">
        <v>210.279999</v>
      </c>
      <c r="E217" s="35">
        <v>96.07</v>
      </c>
      <c r="G217" s="13">
        <f t="shared" si="15"/>
        <v>3.176606141510671E-3</v>
      </c>
      <c r="H217" s="13">
        <f t="shared" si="12"/>
        <v>-1.0067946794771528E-2</v>
      </c>
      <c r="I217" s="13">
        <f t="shared" si="13"/>
        <v>6.6060557186995959E-3</v>
      </c>
      <c r="J217" s="13">
        <f t="shared" si="14"/>
        <v>2.3998748914805241E-3</v>
      </c>
    </row>
    <row r="218" spans="1:10" x14ac:dyDescent="0.25">
      <c r="A218" s="2">
        <v>44057</v>
      </c>
      <c r="B218" s="1">
        <v>336.83999599999999</v>
      </c>
      <c r="C218">
        <v>1956.6999510000001</v>
      </c>
      <c r="D218">
        <v>208.89999399999999</v>
      </c>
      <c r="E218" s="35">
        <v>95.839995999999999</v>
      </c>
      <c r="G218" s="13">
        <f t="shared" si="15"/>
        <v>2.9715287789884875E-5</v>
      </c>
      <c r="H218" s="13">
        <f t="shared" si="12"/>
        <v>1.1266694263062361E-2</v>
      </c>
      <c r="I218" s="13">
        <f t="shared" si="13"/>
        <v>9.5829900754620619E-4</v>
      </c>
      <c r="J218" s="13">
        <f t="shared" si="14"/>
        <v>-3.1204805816567958E-3</v>
      </c>
    </row>
    <row r="219" spans="1:10" x14ac:dyDescent="0.25">
      <c r="A219" s="2">
        <v>44056</v>
      </c>
      <c r="B219" s="1">
        <v>336.82998700000002</v>
      </c>
      <c r="C219">
        <v>1934.900024</v>
      </c>
      <c r="D219">
        <v>208.699997</v>
      </c>
      <c r="E219" s="35">
        <v>96.139999000000003</v>
      </c>
      <c r="G219" s="13">
        <f t="shared" si="15"/>
        <v>-1.807773223045369E-3</v>
      </c>
      <c r="H219" s="13">
        <f t="shared" si="12"/>
        <v>1.1901314439424688E-3</v>
      </c>
      <c r="I219" s="13">
        <f t="shared" si="13"/>
        <v>-2.3423920613567205E-3</v>
      </c>
      <c r="J219" s="13">
        <f t="shared" si="14"/>
        <v>-3.8338306116706636E-3</v>
      </c>
    </row>
    <row r="220" spans="1:10" x14ac:dyDescent="0.25">
      <c r="A220" s="2">
        <v>44055</v>
      </c>
      <c r="B220" s="1">
        <v>337.44000199999999</v>
      </c>
      <c r="C220">
        <v>1932.599976</v>
      </c>
      <c r="D220">
        <v>209.19000199999999</v>
      </c>
      <c r="E220" s="35">
        <v>96.510002</v>
      </c>
      <c r="G220" s="13">
        <f t="shared" si="15"/>
        <v>1.3942350262344385E-2</v>
      </c>
      <c r="H220" s="13">
        <f t="shared" si="12"/>
        <v>-4.5346792586285829E-2</v>
      </c>
      <c r="I220" s="13">
        <f t="shared" si="13"/>
        <v>2.8567198628990008E-2</v>
      </c>
      <c r="J220" s="13">
        <f t="shared" si="14"/>
        <v>-1.2417986518203344E-3</v>
      </c>
    </row>
    <row r="221" spans="1:10" x14ac:dyDescent="0.25">
      <c r="A221" s="2">
        <v>44054</v>
      </c>
      <c r="B221" s="1">
        <v>332.79998799999998</v>
      </c>
      <c r="C221">
        <v>2024.400024</v>
      </c>
      <c r="D221">
        <v>203.38000500000001</v>
      </c>
      <c r="E221" s="35">
        <v>96.629997000000003</v>
      </c>
      <c r="G221" s="13">
        <f t="shared" si="15"/>
        <v>-8.2546680043428036E-3</v>
      </c>
      <c r="H221" s="13">
        <f t="shared" si="12"/>
        <v>7.1140978910195565E-3</v>
      </c>
      <c r="I221" s="13">
        <f t="shared" si="13"/>
        <v>-2.3385330132052767E-2</v>
      </c>
      <c r="J221" s="13">
        <f t="shared" si="14"/>
        <v>-2.3746024945838469E-3</v>
      </c>
    </row>
    <row r="222" spans="1:10" x14ac:dyDescent="0.25">
      <c r="A222" s="2">
        <v>44053</v>
      </c>
      <c r="B222" s="1">
        <v>335.57000699999998</v>
      </c>
      <c r="C222">
        <v>2010.099976</v>
      </c>
      <c r="D222">
        <v>208.25</v>
      </c>
      <c r="E222" s="35">
        <v>96.860000999999997</v>
      </c>
      <c r="G222" s="13">
        <f t="shared" si="15"/>
        <v>2.9889110771366906E-3</v>
      </c>
      <c r="H222" s="13">
        <f t="shared" si="12"/>
        <v>-2.0180367535949321E-2</v>
      </c>
      <c r="I222" s="13">
        <f t="shared" si="13"/>
        <v>-1.9907737573564337E-2</v>
      </c>
      <c r="J222" s="13">
        <f t="shared" si="14"/>
        <v>-5.1597356244050712E-4</v>
      </c>
    </row>
    <row r="223" spans="1:10" x14ac:dyDescent="0.25">
      <c r="A223" s="2">
        <v>44050</v>
      </c>
      <c r="B223" s="1">
        <v>334.57000699999998</v>
      </c>
      <c r="C223">
        <v>2051.5</v>
      </c>
      <c r="D223">
        <v>212.479996</v>
      </c>
      <c r="E223" s="35">
        <v>96.910004000000001</v>
      </c>
      <c r="G223" s="13">
        <f t="shared" si="15"/>
        <v>7.1791346673296937E-4</v>
      </c>
      <c r="H223" s="13">
        <f t="shared" si="12"/>
        <v>1.0043830555389672E-2</v>
      </c>
      <c r="I223" s="13">
        <f t="shared" si="13"/>
        <v>-1.7887727722087549E-2</v>
      </c>
      <c r="J223" s="13">
        <f t="shared" si="14"/>
        <v>-1.9566838714043916E-3</v>
      </c>
    </row>
    <row r="224" spans="1:10" x14ac:dyDescent="0.25">
      <c r="A224" s="2">
        <v>44049</v>
      </c>
      <c r="B224" s="1">
        <v>334.32998700000002</v>
      </c>
      <c r="C224">
        <v>2031.099976</v>
      </c>
      <c r="D224">
        <v>216.35000600000001</v>
      </c>
      <c r="E224" s="35">
        <v>97.099997999999999</v>
      </c>
      <c r="G224" s="13">
        <f t="shared" si="15"/>
        <v>6.6845385573096284E-3</v>
      </c>
      <c r="H224" s="13">
        <f t="shared" si="12"/>
        <v>1.4941048237113371E-2</v>
      </c>
      <c r="I224" s="13">
        <f t="shared" si="13"/>
        <v>1.6013919263511676E-2</v>
      </c>
      <c r="J224" s="13">
        <f t="shared" si="14"/>
        <v>2.0639421658628938E-3</v>
      </c>
    </row>
    <row r="225" spans="1:10" x14ac:dyDescent="0.25">
      <c r="A225" s="2">
        <v>44048</v>
      </c>
      <c r="B225" s="1">
        <v>332.10998499999999</v>
      </c>
      <c r="C225">
        <v>2001.1999510000001</v>
      </c>
      <c r="D225">
        <v>212.94000199999999</v>
      </c>
      <c r="E225" s="35">
        <v>96.900002000000001</v>
      </c>
      <c r="G225" s="13">
        <f t="shared" si="15"/>
        <v>6.2109525917163318E-3</v>
      </c>
      <c r="H225" s="13">
        <f t="shared" si="12"/>
        <v>1.790434944048833E-2</v>
      </c>
      <c r="I225" s="13">
        <f t="shared" si="13"/>
        <v>-1.6409161774411847E-3</v>
      </c>
      <c r="J225" s="13">
        <f t="shared" si="14"/>
        <v>-6.1878094697583117E-4</v>
      </c>
    </row>
    <row r="226" spans="1:10" x14ac:dyDescent="0.25">
      <c r="A226" s="2">
        <v>44047</v>
      </c>
      <c r="B226" s="1">
        <v>330.05999800000001</v>
      </c>
      <c r="C226">
        <v>1966</v>
      </c>
      <c r="D226">
        <v>213.28999300000001</v>
      </c>
      <c r="E226" s="35">
        <v>96.959998999999996</v>
      </c>
      <c r="G226" s="13">
        <f t="shared" si="15"/>
        <v>3.8626143290139015E-3</v>
      </c>
      <c r="H226" s="13">
        <f t="shared" si="12"/>
        <v>1.6302990218643792E-3</v>
      </c>
      <c r="I226" s="13">
        <f t="shared" si="13"/>
        <v>-1.5008774845577832E-2</v>
      </c>
      <c r="J226" s="13">
        <f t="shared" si="14"/>
        <v>1.7563591098629344E-3</v>
      </c>
    </row>
    <row r="227" spans="1:10" x14ac:dyDescent="0.25">
      <c r="A227" s="2">
        <v>44046</v>
      </c>
      <c r="B227" s="1">
        <v>328.790009</v>
      </c>
      <c r="C227">
        <v>1962.8000489999999</v>
      </c>
      <c r="D227">
        <v>216.53999300000001</v>
      </c>
      <c r="E227" s="35">
        <v>96.790001000000004</v>
      </c>
      <c r="G227" s="13">
        <f t="shared" si="15"/>
        <v>6.9521624294798931E-3</v>
      </c>
      <c r="H227" s="13">
        <f t="shared" si="12"/>
        <v>1.0554496979266668E-2</v>
      </c>
      <c r="I227" s="13">
        <f t="shared" si="13"/>
        <v>5.6241150583902048E-2</v>
      </c>
      <c r="J227" s="13">
        <f t="shared" si="14"/>
        <v>-4.1310543399544205E-4</v>
      </c>
    </row>
    <row r="228" spans="1:10" x14ac:dyDescent="0.25">
      <c r="A228" s="2">
        <v>44043</v>
      </c>
      <c r="B228" s="1">
        <v>326.51998900000001</v>
      </c>
      <c r="C228">
        <v>1942.3000489999999</v>
      </c>
      <c r="D228">
        <v>205.009995</v>
      </c>
      <c r="E228" s="35">
        <v>96.830001999999993</v>
      </c>
      <c r="G228" s="13">
        <f t="shared" si="15"/>
        <v>7.9022041953322793E-3</v>
      </c>
      <c r="H228" s="13">
        <f t="shared" si="12"/>
        <v>-5.7332741233683416E-3</v>
      </c>
      <c r="I228" s="13">
        <f t="shared" si="13"/>
        <v>5.4438500866263451E-3</v>
      </c>
      <c r="J228" s="13">
        <f t="shared" si="14"/>
        <v>8.268940568474754E-4</v>
      </c>
    </row>
    <row r="229" spans="1:10" x14ac:dyDescent="0.25">
      <c r="A229" s="2">
        <v>44042</v>
      </c>
      <c r="B229" s="1">
        <v>323.959991</v>
      </c>
      <c r="C229">
        <v>1953.5</v>
      </c>
      <c r="D229">
        <v>203.89999399999999</v>
      </c>
      <c r="E229" s="35">
        <v>96.75</v>
      </c>
      <c r="G229" s="13">
        <f t="shared" si="15"/>
        <v>-3.5679257438473288E-3</v>
      </c>
      <c r="H229" s="13">
        <f t="shared" si="12"/>
        <v>4.5251448664226064E-3</v>
      </c>
      <c r="I229" s="13">
        <f t="shared" si="13"/>
        <v>-7.8410272257287248E-4</v>
      </c>
      <c r="J229" s="13">
        <f t="shared" si="14"/>
        <v>3.1016335494044983E-4</v>
      </c>
    </row>
    <row r="230" spans="1:10" x14ac:dyDescent="0.25">
      <c r="A230" s="2">
        <v>44041</v>
      </c>
      <c r="B230" s="1">
        <v>325.11999500000002</v>
      </c>
      <c r="C230">
        <v>1944.6999510000001</v>
      </c>
      <c r="D230">
        <v>204.05999800000001</v>
      </c>
      <c r="E230" s="35">
        <v>96.720000999999996</v>
      </c>
      <c r="G230" s="13">
        <f t="shared" si="15"/>
        <v>1.2298726033305091E-2</v>
      </c>
      <c r="H230" s="13">
        <f t="shared" si="12"/>
        <v>7.0947441740031357E-3</v>
      </c>
      <c r="I230" s="13">
        <f t="shared" si="13"/>
        <v>1.0097980198040226E-2</v>
      </c>
      <c r="J230" s="13">
        <f t="shared" si="14"/>
        <v>4.1528343023256144E-3</v>
      </c>
    </row>
    <row r="231" spans="1:10" x14ac:dyDescent="0.25">
      <c r="A231" s="2">
        <v>44040</v>
      </c>
      <c r="B231" s="1">
        <v>321.17001299999998</v>
      </c>
      <c r="C231">
        <v>1931</v>
      </c>
      <c r="D231">
        <v>202.020004</v>
      </c>
      <c r="E231" s="35">
        <v>96.32</v>
      </c>
      <c r="G231" s="13">
        <f t="shared" si="15"/>
        <v>-6.3423921590794177E-3</v>
      </c>
      <c r="H231" s="13">
        <f t="shared" si="12"/>
        <v>1.7762056675095811E-2</v>
      </c>
      <c r="I231" s="13">
        <f t="shared" si="13"/>
        <v>-8.9771986565455753E-3</v>
      </c>
      <c r="J231" s="13">
        <f t="shared" si="14"/>
        <v>1.0385214627457543E-4</v>
      </c>
    </row>
    <row r="232" spans="1:10" x14ac:dyDescent="0.25">
      <c r="A232" s="2">
        <v>44039</v>
      </c>
      <c r="B232" s="1">
        <v>323.22000100000002</v>
      </c>
      <c r="C232">
        <v>1897.3000489999999</v>
      </c>
      <c r="D232">
        <v>203.85000600000001</v>
      </c>
      <c r="E232" s="35">
        <v>96.309997999999993</v>
      </c>
      <c r="G232" s="13">
        <f t="shared" si="15"/>
        <v>7.2924331947702443E-3</v>
      </c>
      <c r="H232" s="13">
        <f t="shared" si="12"/>
        <v>4.3407300323844667E-3</v>
      </c>
      <c r="I232" s="13">
        <f t="shared" si="13"/>
        <v>1.2667674922985489E-2</v>
      </c>
      <c r="J232" s="13">
        <f t="shared" si="14"/>
        <v>-1.8654783265723233E-3</v>
      </c>
    </row>
    <row r="233" spans="1:10" x14ac:dyDescent="0.25">
      <c r="A233" s="2">
        <v>44036</v>
      </c>
      <c r="B233" s="1">
        <v>320.88000499999998</v>
      </c>
      <c r="C233">
        <v>1889.099976</v>
      </c>
      <c r="D233">
        <v>201.300003</v>
      </c>
      <c r="E233" s="35">
        <v>96.489998</v>
      </c>
      <c r="G233" s="13">
        <f t="shared" si="15"/>
        <v>-6.4403828894087981E-3</v>
      </c>
      <c r="H233" s="13">
        <f t="shared" si="12"/>
        <v>0</v>
      </c>
      <c r="I233" s="13">
        <f t="shared" si="13"/>
        <v>-6.1221982959188013E-3</v>
      </c>
      <c r="J233" s="13">
        <f t="shared" si="14"/>
        <v>-5.1795110298376518E-4</v>
      </c>
    </row>
    <row r="234" spans="1:10" x14ac:dyDescent="0.25">
      <c r="A234" s="2">
        <v>44035</v>
      </c>
      <c r="B234" s="1">
        <v>322.959991</v>
      </c>
      <c r="C234">
        <v>1889.099976</v>
      </c>
      <c r="D234">
        <v>202.53999300000001</v>
      </c>
      <c r="E234" s="35">
        <v>96.540001000000004</v>
      </c>
      <c r="G234" s="13">
        <f t="shared" si="15"/>
        <v>-1.1931696074696916E-2</v>
      </c>
      <c r="H234" s="13">
        <f t="shared" si="12"/>
        <v>1.3411297849831635E-2</v>
      </c>
      <c r="I234" s="13">
        <f t="shared" si="13"/>
        <v>-4.3494720188901964E-2</v>
      </c>
      <c r="J234" s="13">
        <f t="shared" si="14"/>
        <v>-3.10645127886398E-4</v>
      </c>
    </row>
    <row r="235" spans="1:10" x14ac:dyDescent="0.25">
      <c r="A235" s="2">
        <v>44034</v>
      </c>
      <c r="B235" s="1">
        <v>326.85998499999999</v>
      </c>
      <c r="C235">
        <v>1864.099976</v>
      </c>
      <c r="D235">
        <v>211.75</v>
      </c>
      <c r="E235" s="35">
        <v>96.57</v>
      </c>
      <c r="G235" s="13">
        <f t="shared" si="15"/>
        <v>5.6920554539227021E-3</v>
      </c>
      <c r="H235" s="13">
        <f t="shared" si="12"/>
        <v>1.1778089295118213E-2</v>
      </c>
      <c r="I235" s="13">
        <f t="shared" si="13"/>
        <v>1.437125748502994E-2</v>
      </c>
      <c r="J235" s="13">
        <f t="shared" si="14"/>
        <v>2.491414876125508E-3</v>
      </c>
    </row>
    <row r="236" spans="1:10" x14ac:dyDescent="0.25">
      <c r="A236" s="2">
        <v>44033</v>
      </c>
      <c r="B236" s="1">
        <v>325.01001000000002</v>
      </c>
      <c r="C236">
        <v>1842.400024</v>
      </c>
      <c r="D236">
        <v>208.75</v>
      </c>
      <c r="E236" s="35">
        <v>96.330001999999993</v>
      </c>
      <c r="G236" s="13">
        <f t="shared" si="15"/>
        <v>2.1275375712484093E-3</v>
      </c>
      <c r="H236" s="13">
        <f t="shared" si="12"/>
        <v>1.4593314416961536E-2</v>
      </c>
      <c r="I236" s="13">
        <f t="shared" si="13"/>
        <v>-1.3468837047197472E-2</v>
      </c>
      <c r="J236" s="13">
        <f t="shared" si="14"/>
        <v>1.1432238501015699E-3</v>
      </c>
    </row>
    <row r="237" spans="1:10" x14ac:dyDescent="0.25">
      <c r="A237" s="2">
        <v>44032</v>
      </c>
      <c r="B237" s="1">
        <v>324.32000699999998</v>
      </c>
      <c r="C237">
        <v>1815.900024</v>
      </c>
      <c r="D237">
        <v>211.60000600000001</v>
      </c>
      <c r="E237" s="35">
        <v>96.220000999999996</v>
      </c>
      <c r="G237" s="13">
        <f t="shared" si="15"/>
        <v>8.0815802310032648E-3</v>
      </c>
      <c r="H237" s="13">
        <f t="shared" si="12"/>
        <v>4.2028285096839509E-3</v>
      </c>
      <c r="I237" s="13">
        <f t="shared" si="13"/>
        <v>4.2981076424953732E-2</v>
      </c>
      <c r="J237" s="13">
        <f t="shared" si="14"/>
        <v>1.248730515061998E-3</v>
      </c>
    </row>
    <row r="238" spans="1:10" x14ac:dyDescent="0.25">
      <c r="A238" s="2">
        <v>44029</v>
      </c>
      <c r="B238" s="1">
        <v>321.72000100000002</v>
      </c>
      <c r="C238">
        <v>1808.3000489999999</v>
      </c>
      <c r="D238">
        <v>202.88000500000001</v>
      </c>
      <c r="E238" s="35">
        <v>96.099997999999999</v>
      </c>
      <c r="G238" s="13">
        <f t="shared" si="15"/>
        <v>2.8990678447221433E-3</v>
      </c>
      <c r="H238" s="13">
        <f t="shared" si="12"/>
        <v>5.3372425982791882E-3</v>
      </c>
      <c r="I238" s="13">
        <f t="shared" si="13"/>
        <v>-5.1000049539034484E-3</v>
      </c>
      <c r="J238" s="13">
        <f t="shared" si="14"/>
        <v>1.4589308197054389E-3</v>
      </c>
    </row>
    <row r="239" spans="1:10" x14ac:dyDescent="0.25">
      <c r="A239" s="2">
        <v>44028</v>
      </c>
      <c r="B239" s="1">
        <v>320.790009</v>
      </c>
      <c r="C239">
        <v>1798.6999510000001</v>
      </c>
      <c r="D239">
        <v>203.91999799999999</v>
      </c>
      <c r="E239" s="35">
        <v>95.959998999999996</v>
      </c>
      <c r="G239" s="13">
        <f t="shared" si="15"/>
        <v>-3.2934503036796893E-3</v>
      </c>
      <c r="H239" s="13">
        <f t="shared" si="12"/>
        <v>-7.0111918028769853E-3</v>
      </c>
      <c r="I239" s="13">
        <f t="shared" si="13"/>
        <v>-1.9803860500995196E-2</v>
      </c>
      <c r="J239" s="13">
        <f t="shared" si="14"/>
        <v>2.7168443902877036E-3</v>
      </c>
    </row>
    <row r="240" spans="1:10" x14ac:dyDescent="0.25">
      <c r="A240" s="2">
        <v>44027</v>
      </c>
      <c r="B240" s="1">
        <v>321.85000600000001</v>
      </c>
      <c r="C240">
        <v>1811.400024</v>
      </c>
      <c r="D240">
        <v>208.03999300000001</v>
      </c>
      <c r="E240" s="35">
        <v>95.699996999999996</v>
      </c>
      <c r="G240" s="13">
        <f t="shared" si="15"/>
        <v>9.1872346687757872E-3</v>
      </c>
      <c r="H240" s="13">
        <f t="shared" si="12"/>
        <v>4.4186899956087303E-4</v>
      </c>
      <c r="I240" s="13">
        <f t="shared" si="13"/>
        <v>-1.4879433216814875E-3</v>
      </c>
      <c r="J240" s="13">
        <f t="shared" si="14"/>
        <v>3.1356747807175086E-4</v>
      </c>
    </row>
    <row r="241" spans="1:10" x14ac:dyDescent="0.25">
      <c r="A241" s="2">
        <v>44026</v>
      </c>
      <c r="B241" s="1">
        <v>318.92001299999998</v>
      </c>
      <c r="C241">
        <v>1810.599976</v>
      </c>
      <c r="D241">
        <v>208.35000600000001</v>
      </c>
      <c r="E241" s="35">
        <v>95.669998000000007</v>
      </c>
      <c r="G241" s="13">
        <f t="shared" si="15"/>
        <v>1.2959017443260284E-2</v>
      </c>
      <c r="H241" s="13">
        <f t="shared" si="12"/>
        <v>-2.2088569850912775E-4</v>
      </c>
      <c r="I241" s="13">
        <f t="shared" si="13"/>
        <v>6.1814794838926318E-3</v>
      </c>
      <c r="J241" s="13">
        <f t="shared" si="14"/>
        <v>3.2508074323532132E-3</v>
      </c>
    </row>
    <row r="242" spans="1:10" x14ac:dyDescent="0.25">
      <c r="A242" s="2">
        <v>44025</v>
      </c>
      <c r="B242" s="1">
        <v>314.83999599999999</v>
      </c>
      <c r="C242">
        <v>1811</v>
      </c>
      <c r="D242">
        <v>207.070007</v>
      </c>
      <c r="E242" s="35">
        <v>95.360000999999997</v>
      </c>
      <c r="G242" s="13">
        <f t="shared" si="15"/>
        <v>-8.658962922748991E-3</v>
      </c>
      <c r="H242" s="13">
        <f t="shared" si="12"/>
        <v>7.1182567838919625E-3</v>
      </c>
      <c r="I242" s="13">
        <f t="shared" si="13"/>
        <v>-3.0888711853687519E-2</v>
      </c>
      <c r="J242" s="13">
        <f t="shared" si="14"/>
        <v>-8.3823342753083742E-4</v>
      </c>
    </row>
    <row r="243" spans="1:10" x14ac:dyDescent="0.25">
      <c r="A243" s="2">
        <v>44022</v>
      </c>
      <c r="B243" s="1">
        <v>317.58999599999999</v>
      </c>
      <c r="C243">
        <v>1798.1999510000001</v>
      </c>
      <c r="D243">
        <v>213.66999799999999</v>
      </c>
      <c r="E243" s="35">
        <v>95.440002000000007</v>
      </c>
      <c r="G243" s="13">
        <f t="shared" si="15"/>
        <v>1.0210544401511803E-2</v>
      </c>
      <c r="H243" s="13">
        <f t="shared" si="12"/>
        <v>-5.5580259406087546E-4</v>
      </c>
      <c r="I243" s="13">
        <f t="shared" si="13"/>
        <v>-3.0328899718634825E-3</v>
      </c>
      <c r="J243" s="13">
        <f t="shared" si="14"/>
        <v>-8.3746861926719597E-4</v>
      </c>
    </row>
    <row r="244" spans="1:10" x14ac:dyDescent="0.25">
      <c r="A244" s="2">
        <v>44021</v>
      </c>
      <c r="B244" s="1">
        <v>314.38000499999998</v>
      </c>
      <c r="C244">
        <v>1799.1999510000001</v>
      </c>
      <c r="D244">
        <v>214.320007</v>
      </c>
      <c r="E244" s="35">
        <v>95.519997000000004</v>
      </c>
      <c r="G244" s="13">
        <f t="shared" si="15"/>
        <v>-5.692921879468957E-3</v>
      </c>
      <c r="H244" s="13">
        <f t="shared" si="12"/>
        <v>-8.9782698980996663E-3</v>
      </c>
      <c r="I244" s="13">
        <f t="shared" si="13"/>
        <v>7.0009161584276844E-3</v>
      </c>
      <c r="J244" s="13">
        <f t="shared" si="14"/>
        <v>1.9930241898034407E-3</v>
      </c>
    </row>
    <row r="245" spans="1:10" x14ac:dyDescent="0.25">
      <c r="A245" s="2">
        <v>44020</v>
      </c>
      <c r="B245" s="1">
        <v>316.17999300000002</v>
      </c>
      <c r="C245">
        <v>1815.5</v>
      </c>
      <c r="D245">
        <v>212.83000200000001</v>
      </c>
      <c r="E245" s="35">
        <v>95.330001999999993</v>
      </c>
      <c r="G245" s="13">
        <f t="shared" si="15"/>
        <v>7.6486519461046003E-3</v>
      </c>
      <c r="H245" s="13">
        <f t="shared" si="12"/>
        <v>6.2631910580292129E-3</v>
      </c>
      <c r="I245" s="13">
        <f t="shared" si="13"/>
        <v>2.199280672268911E-2</v>
      </c>
      <c r="J245" s="13">
        <f t="shared" si="14"/>
        <v>-1.6755262682067152E-3</v>
      </c>
    </row>
    <row r="246" spans="1:10" x14ac:dyDescent="0.25">
      <c r="A246" s="2">
        <v>44019</v>
      </c>
      <c r="B246" s="1">
        <v>313.77999899999998</v>
      </c>
      <c r="C246">
        <v>1804.1999510000001</v>
      </c>
      <c r="D246">
        <v>208.25</v>
      </c>
      <c r="E246" s="35">
        <v>95.489998</v>
      </c>
      <c r="G246" s="13">
        <f t="shared" si="15"/>
        <v>-1.031379632160721E-2</v>
      </c>
      <c r="H246" s="13">
        <f t="shared" si="12"/>
        <v>8.7782784456248569E-3</v>
      </c>
      <c r="I246" s="13">
        <f t="shared" si="13"/>
        <v>-1.1627892904051614E-2</v>
      </c>
      <c r="J246" s="13">
        <f t="shared" si="14"/>
        <v>-7.3252408397908488E-4</v>
      </c>
    </row>
    <row r="247" spans="1:10" x14ac:dyDescent="0.25">
      <c r="A247" s="2">
        <v>44018</v>
      </c>
      <c r="B247" s="1">
        <v>317.04998799999998</v>
      </c>
      <c r="C247">
        <v>1788.5</v>
      </c>
      <c r="D247">
        <v>210.699997</v>
      </c>
      <c r="E247" s="35">
        <v>95.559997999999993</v>
      </c>
      <c r="G247" s="13">
        <f t="shared" si="15"/>
        <v>1.5437263652403979E-2</v>
      </c>
      <c r="H247" s="13">
        <f t="shared" si="12"/>
        <v>2.522421524663677E-3</v>
      </c>
      <c r="I247" s="13">
        <f t="shared" si="13"/>
        <v>2.1526239249642146E-2</v>
      </c>
      <c r="J247" s="13">
        <f t="shared" si="14"/>
        <v>3.0439908589478541E-3</v>
      </c>
    </row>
    <row r="248" spans="1:10" x14ac:dyDescent="0.25">
      <c r="A248" s="2">
        <v>44014</v>
      </c>
      <c r="B248" s="1">
        <v>312.23001099999999</v>
      </c>
      <c r="C248">
        <v>1784</v>
      </c>
      <c r="D248">
        <v>206.259995</v>
      </c>
      <c r="E248" s="35">
        <v>95.269997000000004</v>
      </c>
      <c r="G248" s="13">
        <f t="shared" si="15"/>
        <v>5.5069627095728794E-3</v>
      </c>
      <c r="H248" s="13">
        <f t="shared" si="12"/>
        <v>6.0907113120036082E-3</v>
      </c>
      <c r="I248" s="13">
        <f t="shared" si="13"/>
        <v>7.6208989880933286E-3</v>
      </c>
      <c r="J248" s="13">
        <f t="shared" si="14"/>
        <v>1.5768922967759644E-3</v>
      </c>
    </row>
    <row r="249" spans="1:10" x14ac:dyDescent="0.25">
      <c r="A249" s="2">
        <v>44013</v>
      </c>
      <c r="B249" s="1">
        <v>310.51998900000001</v>
      </c>
      <c r="C249">
        <v>1773.1999510000001</v>
      </c>
      <c r="D249">
        <v>204.699997</v>
      </c>
      <c r="E249" s="35">
        <v>95.120002999999997</v>
      </c>
      <c r="G249" s="13">
        <f t="shared" si="15"/>
        <v>7.0048128974971088E-3</v>
      </c>
      <c r="H249" s="13">
        <f t="shared" si="12"/>
        <v>-1.1042972113775763E-2</v>
      </c>
      <c r="I249" s="13">
        <f t="shared" si="13"/>
        <v>5.8473884783889494E-3</v>
      </c>
      <c r="J249" s="13">
        <f t="shared" si="14"/>
        <v>-2.1017448192327728E-4</v>
      </c>
    </row>
    <row r="250" spans="1:10" x14ac:dyDescent="0.25">
      <c r="A250" s="2">
        <v>44012</v>
      </c>
      <c r="B250" s="1">
        <v>308.35998499999999</v>
      </c>
      <c r="C250">
        <v>1793</v>
      </c>
      <c r="D250">
        <v>203.509995</v>
      </c>
      <c r="E250" s="35">
        <v>95.139999000000003</v>
      </c>
      <c r="G250" s="13">
        <f t="shared" si="15"/>
        <v>1.2809545146442549E-2</v>
      </c>
      <c r="H250" s="13">
        <f t="shared" si="12"/>
        <v>1.0254648691414396E-2</v>
      </c>
      <c r="I250" s="13">
        <f t="shared" si="13"/>
        <v>2.5549248885816937E-2</v>
      </c>
      <c r="J250" s="13">
        <f t="shared" si="14"/>
        <v>2.0010743128302247E-3</v>
      </c>
    </row>
    <row r="251" spans="1:10" x14ac:dyDescent="0.25">
      <c r="A251" s="2">
        <v>44011</v>
      </c>
      <c r="B251" s="1">
        <v>304.459991</v>
      </c>
      <c r="C251">
        <v>1774.8000489999999</v>
      </c>
      <c r="D251">
        <v>198.44000199999999</v>
      </c>
      <c r="E251" s="35">
        <v>94.949996999999996</v>
      </c>
      <c r="G251" s="13">
        <f t="shared" si="15"/>
        <v>1.4697560994403431E-2</v>
      </c>
      <c r="H251" s="13">
        <f t="shared" si="12"/>
        <v>1.2976299012693621E-3</v>
      </c>
      <c r="I251" s="13">
        <f t="shared" si="13"/>
        <v>1.0747211218385181E-2</v>
      </c>
      <c r="J251" s="13">
        <f t="shared" si="14"/>
        <v>2.8516793409377838E-3</v>
      </c>
    </row>
    <row r="252" spans="1:10" x14ac:dyDescent="0.25">
      <c r="A252" s="2">
        <v>44008</v>
      </c>
      <c r="B252" s="1">
        <v>300.04998799999998</v>
      </c>
      <c r="C252">
        <v>1772.5</v>
      </c>
      <c r="D252">
        <v>196.33000200000001</v>
      </c>
      <c r="E252" s="35">
        <v>94.68</v>
      </c>
      <c r="G252" s="13">
        <f t="shared" si="15"/>
        <v>-2.3751481560081774E-2</v>
      </c>
      <c r="H252" s="13">
        <f t="shared" si="12"/>
        <v>5.902062392400844E-3</v>
      </c>
      <c r="I252" s="13">
        <f t="shared" si="13"/>
        <v>-2.0015943296714481E-2</v>
      </c>
      <c r="J252" s="13">
        <f t="shared" si="14"/>
        <v>-4.2230785027113249E-4</v>
      </c>
    </row>
    <row r="253" spans="1:10" x14ac:dyDescent="0.25">
      <c r="A253" s="2">
        <v>44007</v>
      </c>
      <c r="B253" s="1">
        <v>307.35000600000001</v>
      </c>
      <c r="C253">
        <v>1762.099976</v>
      </c>
      <c r="D253">
        <v>200.33999600000001</v>
      </c>
      <c r="E253" s="35">
        <v>94.720000999999996</v>
      </c>
      <c r="G253" s="13"/>
      <c r="H253" s="13"/>
      <c r="I253" s="13"/>
      <c r="J253" s="1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2E898-1EC3-449A-9DBC-4E0E510FBA6D}">
  <dimension ref="B1:M14"/>
  <sheetViews>
    <sheetView showGridLines="0" tabSelected="1" zoomScale="150" zoomScaleNormal="150" workbookViewId="0">
      <selection activeCell="L11" sqref="L11"/>
    </sheetView>
  </sheetViews>
  <sheetFormatPr defaultRowHeight="15" x14ac:dyDescent="0.25"/>
  <cols>
    <col min="1" max="1" width="2" customWidth="1"/>
    <col min="2" max="2" width="17.85546875" customWidth="1"/>
    <col min="3" max="3" width="9.7109375" customWidth="1"/>
    <col min="10" max="13" width="17.5703125" customWidth="1"/>
  </cols>
  <sheetData>
    <row r="1" spans="2:13" ht="9" customHeight="1" thickBot="1" x14ac:dyDescent="0.3"/>
    <row r="2" spans="2:13" ht="18.75" customHeight="1" x14ac:dyDescent="0.3">
      <c r="B2" s="30" t="s">
        <v>10</v>
      </c>
      <c r="C2" s="31"/>
      <c r="D2" s="31"/>
      <c r="E2" s="31"/>
      <c r="F2" s="31"/>
      <c r="G2" s="32"/>
      <c r="I2" s="30" t="s">
        <v>11</v>
      </c>
      <c r="J2" s="31"/>
      <c r="K2" s="31"/>
      <c r="L2" s="31"/>
      <c r="M2" s="32"/>
    </row>
    <row r="3" spans="2:13" ht="15.75" thickBot="1" x14ac:dyDescent="0.3">
      <c r="B3" s="6"/>
      <c r="C3" s="7"/>
      <c r="D3" s="7"/>
      <c r="E3" s="7"/>
      <c r="F3" s="7"/>
      <c r="G3" s="20"/>
      <c r="I3" s="6"/>
      <c r="J3" s="7"/>
      <c r="K3" s="7"/>
      <c r="L3" s="7"/>
      <c r="M3" s="8"/>
    </row>
    <row r="4" spans="2:13" ht="30.75" customHeight="1" x14ac:dyDescent="0.25">
      <c r="B4" s="14" t="s">
        <v>8</v>
      </c>
      <c r="C4" s="15" t="s">
        <v>5</v>
      </c>
      <c r="D4" s="15" t="s">
        <v>6</v>
      </c>
      <c r="E4" s="15" t="s">
        <v>7</v>
      </c>
      <c r="F4" s="15" t="s">
        <v>17</v>
      </c>
      <c r="G4" s="16" t="s">
        <v>15</v>
      </c>
      <c r="I4" s="36"/>
      <c r="J4" s="36" t="s">
        <v>18</v>
      </c>
      <c r="K4" s="36" t="s">
        <v>2</v>
      </c>
      <c r="L4" s="36" t="s">
        <v>3</v>
      </c>
      <c r="M4" s="36" t="s">
        <v>4</v>
      </c>
    </row>
    <row r="5" spans="2:13" x14ac:dyDescent="0.25">
      <c r="B5" s="17" t="s">
        <v>1</v>
      </c>
      <c r="C5" s="9">
        <v>0.08</v>
      </c>
      <c r="D5" s="10">
        <v>0.3</v>
      </c>
      <c r="E5" s="10">
        <v>0.15</v>
      </c>
      <c r="F5" s="10">
        <v>0.35</v>
      </c>
      <c r="G5" s="21">
        <v>0.32840887124294688</v>
      </c>
      <c r="I5" s="3" t="s">
        <v>18</v>
      </c>
      <c r="J5" s="3">
        <f>VARP('Raw Data'!$G$2:$G$252)</f>
        <v>9.4187167749011064E-5</v>
      </c>
      <c r="K5" s="3">
        <v>7.195149498861976E-6</v>
      </c>
      <c r="L5" s="3">
        <v>1.2192110174849773E-4</v>
      </c>
      <c r="M5" s="3">
        <v>7.5202779170311734E-6</v>
      </c>
    </row>
    <row r="6" spans="2:13" x14ac:dyDescent="0.25">
      <c r="B6" s="17" t="s">
        <v>2</v>
      </c>
      <c r="C6" s="9">
        <v>0.05</v>
      </c>
      <c r="D6" s="10">
        <v>0.16</v>
      </c>
      <c r="E6" s="10">
        <v>0.15</v>
      </c>
      <c r="F6" s="10">
        <v>0.35</v>
      </c>
      <c r="G6" s="21">
        <v>0.17159112875705318</v>
      </c>
      <c r="I6" s="3" t="s">
        <v>2</v>
      </c>
      <c r="J6" s="3">
        <v>7.195149498861976E-6</v>
      </c>
      <c r="K6" s="3">
        <f>VARP('Raw Data'!$H$2:$H$252)</f>
        <v>1.2206736684660013E-4</v>
      </c>
      <c r="L6" s="3">
        <v>1.1968106460707437E-5</v>
      </c>
      <c r="M6" s="3">
        <v>3.0210541154223555E-6</v>
      </c>
    </row>
    <row r="7" spans="2:13" x14ac:dyDescent="0.25">
      <c r="B7" s="17" t="s">
        <v>3</v>
      </c>
      <c r="C7" s="9">
        <v>8.5000000000000006E-2</v>
      </c>
      <c r="D7" s="10">
        <v>0.33</v>
      </c>
      <c r="E7" s="10">
        <v>0.15</v>
      </c>
      <c r="F7" s="10">
        <v>0.35</v>
      </c>
      <c r="G7" s="21">
        <v>0.15</v>
      </c>
      <c r="I7" s="3" t="s">
        <v>3</v>
      </c>
      <c r="J7" s="3">
        <v>1.2192110174849773E-4</v>
      </c>
      <c r="K7" s="3">
        <v>1.1968106460707437E-5</v>
      </c>
      <c r="L7" s="3">
        <f>VARP('Raw Data'!$I$2:$I$252)</f>
        <v>2.8496341327678281E-4</v>
      </c>
      <c r="M7" s="3">
        <v>1.4012098739662782E-5</v>
      </c>
    </row>
    <row r="8" spans="2:13" ht="15.75" thickBot="1" x14ac:dyDescent="0.3">
      <c r="B8" s="18" t="s">
        <v>4</v>
      </c>
      <c r="C8" s="11">
        <v>4.4999999999999998E-2</v>
      </c>
      <c r="D8" s="12">
        <v>0.14000000000000001</v>
      </c>
      <c r="E8" s="12">
        <v>0.15</v>
      </c>
      <c r="F8" s="12">
        <v>0.35</v>
      </c>
      <c r="G8" s="22">
        <v>0.35</v>
      </c>
      <c r="I8" s="4" t="s">
        <v>4</v>
      </c>
      <c r="J8" s="4">
        <v>7.5202779170311734E-6</v>
      </c>
      <c r="K8" s="4">
        <v>3.0210541154223555E-6</v>
      </c>
      <c r="L8" s="4">
        <v>1.4012098739662782E-5</v>
      </c>
      <c r="M8" s="4">
        <f>VARP('Raw Data'!$J$2:$J$252)</f>
        <v>5.8347982530718046E-6</v>
      </c>
    </row>
    <row r="9" spans="2:13" ht="15.75" thickBot="1" x14ac:dyDescent="0.3"/>
    <row r="10" spans="2:13" ht="19.5" thickBot="1" x14ac:dyDescent="0.35">
      <c r="B10" s="33" t="s">
        <v>13</v>
      </c>
      <c r="C10" s="34"/>
      <c r="E10" s="5" t="s">
        <v>16</v>
      </c>
    </row>
    <row r="11" spans="2:13" x14ac:dyDescent="0.25">
      <c r="B11" s="19" t="s">
        <v>12</v>
      </c>
      <c r="C11" s="27">
        <f>(C12-E11)/C13</f>
        <v>0.44371285140408251</v>
      </c>
      <c r="E11" s="26">
        <v>0.02</v>
      </c>
    </row>
    <row r="12" spans="2:13" x14ac:dyDescent="0.25">
      <c r="B12" s="14" t="s">
        <v>5</v>
      </c>
      <c r="C12" s="28">
        <f>(C5*G5)+(C6*G6)+(C7*G7)+(C8*G8)</f>
        <v>6.3352266137288407E-2</v>
      </c>
    </row>
    <row r="13" spans="2:13" x14ac:dyDescent="0.25">
      <c r="B13" s="14" t="s">
        <v>9</v>
      </c>
      <c r="C13" s="24">
        <f t="array" ref="C13">SQRT(MMULT(MMULT(TRANSPOSE(G5:G8),J5:M8),G5:G8*252))</f>
        <v>9.7703426889946349E-2</v>
      </c>
    </row>
    <row r="14" spans="2:13" ht="15.75" thickBot="1" x14ac:dyDescent="0.3">
      <c r="B14" s="23" t="s">
        <v>14</v>
      </c>
      <c r="C14" s="25">
        <f>SUM(G5:G8)</f>
        <v>1</v>
      </c>
    </row>
  </sheetData>
  <mergeCells count="3">
    <mergeCell ref="I2:M2"/>
    <mergeCell ref="B10:C10"/>
    <mergeCell ref="B2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Portfolio Optomizer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2021-06-24T21:35:11Z</dcterms:created>
  <dcterms:modified xsi:type="dcterms:W3CDTF">2021-06-29T13:37:23Z</dcterms:modified>
</cp:coreProperties>
</file>